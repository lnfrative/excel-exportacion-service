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brione\Downloads\Templates 2026\"/>
    </mc:Choice>
  </mc:AlternateContent>
  <xr:revisionPtr revIDLastSave="0" documentId="13_ncr:1_{3F469B5D-EB32-4AB5-BF68-DB3FB42F749F}" xr6:coauthVersionLast="47" xr6:coauthVersionMax="47" xr10:uidLastSave="{00000000-0000-0000-0000-000000000000}"/>
  <bookViews>
    <workbookView xWindow="-108" yWindow="-108" windowWidth="23256" windowHeight="12456" xr2:uid="{8CFD48D0-6B3B-47A9-8AEC-59BB8287F754}"/>
  </bookViews>
  <sheets>
    <sheet name="Reporte de medición" sheetId="1" r:id="rId1"/>
    <sheet name="Sheet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F26" i="1"/>
  <c r="G26" i="1"/>
  <c r="H26" i="1"/>
  <c r="F85" i="1"/>
  <c r="E85" i="1"/>
  <c r="D85" i="1"/>
  <c r="C85" i="1"/>
  <c r="F84" i="1"/>
  <c r="E84" i="1"/>
  <c r="D84" i="1"/>
  <c r="C84" i="1"/>
  <c r="F83" i="1"/>
  <c r="E83" i="1"/>
  <c r="D83" i="1"/>
  <c r="C83" i="1"/>
  <c r="F82" i="1"/>
  <c r="E82" i="1"/>
  <c r="D82" i="1"/>
  <c r="C82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83" i="1"/>
  <c r="B84" i="1"/>
  <c r="B85" i="1"/>
  <c r="B82" i="1"/>
  <c r="G82" i="1" l="1"/>
  <c r="H82" i="1" s="1"/>
  <c r="G85" i="1"/>
  <c r="H86" i="1" s="1"/>
  <c r="G84" i="1"/>
  <c r="G86" i="1" s="1"/>
  <c r="G83" i="1"/>
  <c r="H83" i="1" s="1"/>
  <c r="D88" i="1" s="1"/>
  <c r="H88" i="1"/>
  <c r="E88" i="1"/>
  <c r="F88" i="1"/>
  <c r="G88" i="1"/>
  <c r="E86" i="1" l="1"/>
  <c r="H85" i="1"/>
  <c r="H84" i="1"/>
  <c r="F86" i="1"/>
  <c r="F89" i="1"/>
  <c r="G89" i="1"/>
  <c r="H89" i="1"/>
  <c r="E89" i="1"/>
  <c r="E21" i="1" l="1"/>
  <c r="H21" i="1" l="1"/>
  <c r="G21" i="1"/>
  <c r="F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tc={70895EC0-5DFA-4FA2-AF4C-5D58F1B05779}</author>
    <author>tc={0D326ADE-1CB6-4AB9-96F2-A73C553C0CC5}</author>
    <author>tc={DF51FE54-7EE3-4B00-B747-2A2CA73979E4}</author>
    <author>tc={19B6CB83-1E29-4149-B970-DFE3676B0F4F}</author>
    <author>tc={8150467A-617E-4943-8E45-231A23E0F5A3}</author>
    <author>tc={C128C0D8-489E-4E1B-9823-9AD680BC69AB}</author>
    <author>tc={34269447-6C11-4850-B458-F819FA4B8ED0}</author>
    <author>tc={FBB7DA82-92DB-447E-9ED8-67DB10F2A8A8}</author>
    <author>tc={58E65522-978F-43EE-B1FF-46CC200A1764}</author>
    <author>tc={77302B7E-8326-417C-BC33-0A62FC55CA98}</author>
    <author>tc={35040623-C366-484D-953C-9E37679D9BC0}</author>
    <author>tc={8357728B-9BE9-4B93-8810-F5F2C4E69A45}</author>
    <author>tc={98222BEB-B27A-40F0-803C-32F65D210995}</author>
    <author>tc={C9314B22-CAE8-4542-B09A-BFBD59BD40B2}</author>
    <author>tc={664CAA2B-2FDA-4630-8CA1-575B2603270A}</author>
    <author>tc={3CF78778-A201-4148-87CE-363095EDC3DA}</author>
    <author>tc={784AE413-0105-4BD3-B064-C4AB77FE9956}</author>
  </authors>
  <commentList>
    <comment ref="D3" authorId="0" shapeId="0" xr:uid="{70895EC0-5DFA-4FA2-AF4C-5D58F1B057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Registre el nombre de la facultad que pertenece</t>
      </text>
    </comment>
    <comment ref="D4" authorId="1" shapeId="0" xr:uid="{0D326ADE-1CB6-4AB9-96F2-A73C553C0C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el nombre del resultado de aprendizaje o competencia a medir</t>
      </text>
    </comment>
    <comment ref="C7" authorId="2" shapeId="0" xr:uid="{DF51FE54-7EE3-4B00-B747-2A2CA73979E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el código oficial de la materia donde se aplicó el instrumento de medición. </t>
      </text>
    </comment>
    <comment ref="D7" authorId="3" shapeId="0" xr:uid="{19B6CB83-1E29-4149-B970-DFE3676B0F4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Escriba el nombre completo de la asignatura donde se evaluó el Resultado de Aprendizaje. </t>
      </text>
    </comment>
    <comment ref="E7" authorId="4" shapeId="0" xr:uid="{8150467A-617E-4943-8E45-231A23E0F5A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Registre el nombre del docente responsable de aplicar el instrumento y reportar los resultados de medición. </t>
      </text>
    </comment>
    <comment ref="F7" authorId="5" shapeId="0" xr:uid="{C128C0D8-489E-4E1B-9823-9AD680BC69A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Indique el porcentaje mínimo esperado de estudiantes que deben alcanzar el nivel satisfactorio o superior.
Lo define el coordinador de acreditación o coordinador del programa
</t>
      </text>
    </comment>
    <comment ref="G7" authorId="6" shapeId="0" xr:uid="{34269447-6C11-4850-B458-F819FA4B8ED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Indique el porcentaje mínimo esperado de estudiantes que deben alcanzar el nivel satisfactorio o superior.
Lo define el coordinador de acreditación o coordinador del programa
</t>
      </text>
    </comment>
    <comment ref="C13" authorId="7" shapeId="0" xr:uid="{FBB7DA82-92DB-447E-9ED8-67DB10F2A8A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Copie los criterios de evaluación definidos en la rúbrica del Resultado de Aprendizaje.
Cada fila debe corresponder a un criterio específico que será medido. 
</t>
      </text>
    </comment>
    <comment ref="E13" authorId="8" shapeId="0" xr:uid="{58E65522-978F-43EE-B1FF-46CC200A176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la actividad evaluativa aplicada al estudiante para medir el criterio. </t>
      </text>
    </comment>
    <comment ref="F13" authorId="9" shapeId="0" xr:uid="{77302B7E-8326-417C-BC33-0A62FC55CA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Explique qué parte del instrumento se utiliza para evaluar el criterio, qué producto entrega el estudiante y cómo se evidencia el logro del aprendizaje. 
</t>
      </text>
    </comment>
    <comment ref="B28" authorId="10" shapeId="0" xr:uid="{35040623-C366-484D-953C-9E37679D9B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llena de forma automática</t>
      </text>
    </comment>
    <comment ref="B128" authorId="11" shapeId="0" xr:uid="{8357728B-9BE9-4B93-8810-F5F2C4E69A4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Identifique si la mejora corresponde al:
- Resultado de Aprendizaje del curso
- Resultado de Aprendizaje del programa
- Instrumento de medición utilizado. </t>
      </text>
    </comment>
    <comment ref="D128" authorId="12" shapeId="0" xr:uid="{98222BEB-B27A-40F0-803C-32F65D2109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Describa el aspecto específico que requiere mejorar o mantener. 
Recuerde que el factor debe estar relacionado con los criterios.</t>
      </text>
    </comment>
    <comment ref="E128" authorId="13" shapeId="0" xr:uid="{C9314B22-CAE8-4542-B09A-BFBD59BD40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Indique la acción concreta que se implementará para mejorar el factor identificado.</t>
      </text>
    </comment>
    <comment ref="F128" authorId="14" shapeId="0" xr:uid="{664CAA2B-2FDA-4630-8CA1-575B260327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¿Quién ejecutará la acción propuesta?</t>
      </text>
    </comment>
    <comment ref="G128" authorId="15" shapeId="0" xr:uid="{3CF78778-A201-4148-87CE-363095EDC3D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¿Desde cuándo hasta cuándo se ejecutará la acción propuesta?
</t>
      </text>
    </comment>
    <comment ref="H128" authorId="16" shapeId="0" xr:uid="{784AE413-0105-4BD3-B064-C4AB77FE99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Espacio de aclaraciones o novedades.</t>
      </text>
    </comment>
  </commentList>
</comments>
</file>

<file path=xl/sharedStrings.xml><?xml version="1.0" encoding="utf-8"?>
<sst xmlns="http://schemas.openxmlformats.org/spreadsheetml/2006/main" count="179" uniqueCount="123">
  <si>
    <t>Meta</t>
  </si>
  <si>
    <t>Niveles de aprendizaje:</t>
  </si>
  <si>
    <t>Estudiantes</t>
  </si>
  <si>
    <t>Número de Estudiante</t>
  </si>
  <si>
    <t xml:space="preserve">Observaciones </t>
  </si>
  <si>
    <t>Criterios</t>
  </si>
  <si>
    <t>Fuentes de mejora</t>
  </si>
  <si>
    <t>Mejora al Resultado de Aprendizaje del curso</t>
  </si>
  <si>
    <t>Factor a mejorar</t>
  </si>
  <si>
    <t>Acción propuesta</t>
  </si>
  <si>
    <t xml:space="preserve">Fecha inicio – Fecha fin </t>
  </si>
  <si>
    <t>Mejora al instrumento de medición del Resultado de Aprendizaje</t>
  </si>
  <si>
    <t>FT-02-V01/
PRO-DAR-004</t>
  </si>
  <si>
    <t>Responsable</t>
  </si>
  <si>
    <t>PAO - I</t>
  </si>
  <si>
    <t>PAO - II</t>
  </si>
  <si>
    <t>PAO- III</t>
  </si>
  <si>
    <t>Nombre de Materia</t>
  </si>
  <si>
    <t>Mejora al Resultado de Aprendizaje del programa</t>
  </si>
  <si>
    <t>C1</t>
  </si>
  <si>
    <t>C2</t>
  </si>
  <si>
    <t>C3</t>
  </si>
  <si>
    <t>C4</t>
  </si>
  <si>
    <t>Inicial</t>
  </si>
  <si>
    <t>Intermedio</t>
  </si>
  <si>
    <t>PAO-1S</t>
  </si>
  <si>
    <t>PAO-0S</t>
  </si>
  <si>
    <t>PAO-2S</t>
  </si>
  <si>
    <t>Nombre del Docente</t>
  </si>
  <si>
    <t>Criterios Evaluados</t>
  </si>
  <si>
    <r>
      <rPr>
        <b/>
        <sz val="14"/>
        <color theme="0"/>
        <rFont val="Calibri"/>
        <family val="2"/>
        <scheme val="minor"/>
      </rPr>
      <t>I:</t>
    </r>
    <r>
      <rPr>
        <sz val="14"/>
        <color theme="0"/>
        <rFont val="Calibri"/>
        <family val="2"/>
        <scheme val="minor"/>
      </rPr>
      <t xml:space="preserve"> Insatisfactorio         </t>
    </r>
    <r>
      <rPr>
        <b/>
        <sz val="14"/>
        <color theme="0"/>
        <rFont val="Calibri"/>
        <family val="2"/>
        <scheme val="minor"/>
      </rPr>
      <t>D:</t>
    </r>
    <r>
      <rPr>
        <sz val="14"/>
        <color theme="0"/>
        <rFont val="Calibri"/>
        <family val="2"/>
        <scheme val="minor"/>
      </rPr>
      <t xml:space="preserve"> En desarrollo      </t>
    </r>
    <r>
      <rPr>
        <b/>
        <sz val="14"/>
        <color theme="0"/>
        <rFont val="Calibri"/>
        <family val="2"/>
        <scheme val="minor"/>
      </rPr>
      <t xml:space="preserve">S: </t>
    </r>
    <r>
      <rPr>
        <sz val="14"/>
        <color theme="0"/>
        <rFont val="Calibri"/>
        <family val="2"/>
        <scheme val="minor"/>
      </rPr>
      <t xml:space="preserve">Satisfactorio      </t>
    </r>
    <r>
      <rPr>
        <b/>
        <sz val="14"/>
        <color theme="0"/>
        <rFont val="Calibri"/>
        <family val="2"/>
        <scheme val="minor"/>
      </rPr>
      <t>E:</t>
    </r>
    <r>
      <rPr>
        <sz val="14"/>
        <color theme="0"/>
        <rFont val="Calibri"/>
        <family val="2"/>
        <scheme val="minor"/>
      </rPr>
      <t xml:space="preserve"> Ejemplar</t>
    </r>
  </si>
  <si>
    <t>Descripción del Instrumento de Medición</t>
  </si>
  <si>
    <t>Tipo de Instrumento de medición</t>
  </si>
  <si>
    <t>% de estudiantes que lograron el criterio del RA (S+E)</t>
  </si>
  <si>
    <t>Facultad:</t>
  </si>
  <si>
    <t>1. Identificación general</t>
  </si>
  <si>
    <t>3. Tabulación individual de estudiantes</t>
  </si>
  <si>
    <t>4. Porcentajes de cumplimiento por criterio</t>
  </si>
  <si>
    <t>Insatisfactorio (I)</t>
  </si>
  <si>
    <t>En desarrollo (D)</t>
  </si>
  <si>
    <t>Satisfactorio (S)</t>
  </si>
  <si>
    <t>Ejemplar (E)</t>
  </si>
  <si>
    <t>6. Acciones de Mejora</t>
  </si>
  <si>
    <t>Código de Materia</t>
  </si>
  <si>
    <t>Avanzado</t>
  </si>
  <si>
    <r>
      <rPr>
        <b/>
        <sz val="14"/>
        <rFont val="Calibri"/>
        <family val="2"/>
        <scheme val="minor"/>
      </rPr>
      <t>I:</t>
    </r>
    <r>
      <rPr>
        <sz val="14"/>
        <rFont val="Calibri"/>
        <family val="2"/>
        <scheme val="minor"/>
      </rPr>
      <t xml:space="preserve"> Insatisfactorio         </t>
    </r>
    <r>
      <rPr>
        <b/>
        <sz val="14"/>
        <rFont val="Calibri"/>
        <family val="2"/>
        <scheme val="minor"/>
      </rPr>
      <t>D:</t>
    </r>
    <r>
      <rPr>
        <sz val="14"/>
        <rFont val="Calibri"/>
        <family val="2"/>
        <scheme val="minor"/>
      </rPr>
      <t xml:space="preserve"> En desarrollo      </t>
    </r>
    <r>
      <rPr>
        <b/>
        <sz val="14"/>
        <rFont val="Calibri"/>
        <family val="2"/>
        <scheme val="minor"/>
      </rPr>
      <t xml:space="preserve">S: </t>
    </r>
    <r>
      <rPr>
        <sz val="14"/>
        <rFont val="Calibri"/>
        <family val="2"/>
        <scheme val="minor"/>
      </rPr>
      <t xml:space="preserve">Satisfactorio      </t>
    </r>
    <r>
      <rPr>
        <b/>
        <sz val="14"/>
        <rFont val="Calibri"/>
        <family val="2"/>
        <scheme val="minor"/>
      </rPr>
      <t>E:</t>
    </r>
    <r>
      <rPr>
        <sz val="14"/>
        <rFont val="Calibri"/>
        <family val="2"/>
        <scheme val="minor"/>
      </rPr>
      <t xml:space="preserve"> Ejemplar</t>
    </r>
  </si>
  <si>
    <t>Describa criterio 1</t>
  </si>
  <si>
    <t>Describa criterio 2</t>
  </si>
  <si>
    <t>Describa criterio 3</t>
  </si>
  <si>
    <t>Describa criterio 4</t>
  </si>
  <si>
    <t>Análisis de datos</t>
  </si>
  <si>
    <t>Artículo académico</t>
  </si>
  <si>
    <t>Bitácora</t>
  </si>
  <si>
    <t>Debate</t>
  </si>
  <si>
    <t>Defensa oral</t>
  </si>
  <si>
    <t>Ensayo</t>
  </si>
  <si>
    <t>Estudio de caso</t>
  </si>
  <si>
    <t>Evaluación práctica de desempeño</t>
  </si>
  <si>
    <t>Examen</t>
  </si>
  <si>
    <t>Informe técnico</t>
  </si>
  <si>
    <t>Mapa conceptual</t>
  </si>
  <si>
    <t>Portafolio</t>
  </si>
  <si>
    <t>Práctica de campo</t>
  </si>
  <si>
    <t>Práctica de laboratorio</t>
  </si>
  <si>
    <t>Práctica preprofesional / pasantía evaluada</t>
  </si>
  <si>
    <t>Presentación oral</t>
  </si>
  <si>
    <t>Producto final</t>
  </si>
  <si>
    <t>Propuesta o plan de intervención</t>
  </si>
  <si>
    <t>Prototipo</t>
  </si>
  <si>
    <t>Proyecto de curso</t>
  </si>
  <si>
    <t>Proyecto integrador</t>
  </si>
  <si>
    <t>Quiz / prueba corta</t>
  </si>
  <si>
    <t>Reporte de laboratorio</t>
  </si>
  <si>
    <t>Resolución de problemas</t>
  </si>
  <si>
    <t>Simulación</t>
  </si>
  <si>
    <t>Taller</t>
  </si>
  <si>
    <t>Tarea</t>
  </si>
  <si>
    <t>Análisis de texto</t>
  </si>
  <si>
    <t>Bitácora reflexiva</t>
  </si>
  <si>
    <t>Boceto / sketchbook</t>
  </si>
  <si>
    <t>Caso clínico</t>
  </si>
  <si>
    <t>Caso de negocio</t>
  </si>
  <si>
    <t>Consultoría aplicada</t>
  </si>
  <si>
    <t>Crítica de obra</t>
  </si>
  <si>
    <t>Diseño de experiencia de usuario</t>
  </si>
  <si>
    <t>Diseño de solución técnica</t>
  </si>
  <si>
    <t>Ensayo crítico</t>
  </si>
  <si>
    <t>Examen práctico estructurado</t>
  </si>
  <si>
    <t>Exposición</t>
  </si>
  <si>
    <t>Informe clínico</t>
  </si>
  <si>
    <t>Informe ejecutivo</t>
  </si>
  <si>
    <t>Investigación documental</t>
  </si>
  <si>
    <t>Maqueta</t>
  </si>
  <si>
    <t>Obra final</t>
  </si>
  <si>
    <t>Pieza audiovisual</t>
  </si>
  <si>
    <t>Pitch ejecutivo</t>
  </si>
  <si>
    <t>Plan de intervención</t>
  </si>
  <si>
    <t>Plan de negocios</t>
  </si>
  <si>
    <t>Portafolio creativo</t>
  </si>
  <si>
    <t>Práctica comunitaria</t>
  </si>
  <si>
    <t>Propuesta conceptual</t>
  </si>
  <si>
    <t>Prototipo funcional</t>
  </si>
  <si>
    <t>Proyecto artístico</t>
  </si>
  <si>
    <t>Proyecto de consultoría</t>
  </si>
  <si>
    <t>Proyecto de emprendimiento</t>
  </si>
  <si>
    <t>Reseña académica</t>
  </si>
  <si>
    <t>Simulación clínica</t>
  </si>
  <si>
    <t>Simulación empresarial</t>
  </si>
  <si>
    <t>Simulación técnica</t>
  </si>
  <si>
    <t>Tablero de indicadores</t>
  </si>
  <si>
    <t>2. Criterios e Instrumentos utilizados para evaluación</t>
  </si>
  <si>
    <t>Cumplimiento 
de Meta</t>
  </si>
  <si>
    <t>Resultado de Aprendizaje/ Competencia:</t>
  </si>
  <si>
    <t>5. Logro del resultado de aprendizaje/competencia por criterio</t>
  </si>
  <si>
    <t>¿El curso logró el Cumplimiento del Resultado de Aprendizaje/Competencia?</t>
  </si>
  <si>
    <t>REPORTE DE MEDICIÓN Y ACCIONES DE MEJORA DEL RESULTADO DE APRENDIZAJE/COMPETENCIAS</t>
  </si>
  <si>
    <t>Criterios del Resultado de Aprendizaje/Competencias</t>
  </si>
  <si>
    <t>Periodo</t>
  </si>
  <si>
    <t>PEPE</t>
  </si>
  <si>
    <t>I</t>
  </si>
  <si>
    <t>D</t>
  </si>
  <si>
    <t>S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</si>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</sst>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i/>
      <sz val="16"/>
      <color theme="1" tint="0.499984740745262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2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rgb="FFD9D9D9"/>
      </patternFill>
    </fill>
    <fill>
      <patternFill patternType="solid">
        <fgColor rgb="FFFFC000"/>
        <bgColor rgb="FFFFFFFF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6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0" fillId="0" borderId="0" xfId="0" applyProtection="1">
      <protection hidden="1"/>
    </xf>
    <xf numFmtId="0" fontId="6" fillId="2" borderId="1" xfId="0" applyFont="1" applyFill="1" applyBorder="1" applyAlignment="1" applyProtection="1">
      <alignment horizontal="center" vertical="center"/>
      <protection hidden="1"/>
    </xf>
    <xf numFmtId="0" fontId="6" fillId="2" borderId="5" xfId="0" applyFont="1" applyFill="1" applyBorder="1" applyAlignment="1" applyProtection="1">
      <alignment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164" fontId="0" fillId="0" borderId="0" xfId="0" applyNumberFormat="1" applyProtection="1">
      <protection hidden="1"/>
    </xf>
    <xf numFmtId="9" fontId="1" fillId="0" borderId="0" xfId="0" applyNumberFormat="1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wrapText="1"/>
      <protection hidden="1"/>
    </xf>
    <xf numFmtId="0" fontId="1" fillId="2" borderId="0" xfId="0" applyFont="1" applyFill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 applyProtection="1">
      <protection hidden="1"/>
    </xf>
    <xf numFmtId="9" fontId="4" fillId="3" borderId="0" xfId="1" applyFont="1" applyFill="1" applyBorder="1" applyAlignment="1" applyProtection="1">
      <alignment horizontal="center"/>
      <protection hidden="1"/>
    </xf>
    <xf numFmtId="9" fontId="13" fillId="3" borderId="0" xfId="1" applyFont="1" applyFill="1" applyBorder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0" fontId="2" fillId="3" borderId="0" xfId="0" applyFont="1" applyFill="1" applyAlignment="1" applyProtection="1">
      <alignment horizontal="center" vertical="center" wrapText="1"/>
      <protection hidden="1"/>
    </xf>
    <xf numFmtId="9" fontId="2" fillId="3" borderId="0" xfId="0" applyNumberFormat="1" applyFont="1" applyFill="1" applyAlignment="1" applyProtection="1">
      <alignment horizontal="center" vertical="center" wrapText="1"/>
      <protection hidden="1"/>
    </xf>
    <xf numFmtId="0" fontId="13" fillId="3" borderId="0" xfId="1" applyNumberFormat="1" applyFont="1" applyFill="1" applyBorder="1" applyAlignment="1" applyProtection="1">
      <alignment horizontal="center"/>
      <protection hidden="1"/>
    </xf>
    <xf numFmtId="0" fontId="7" fillId="2" borderId="11" xfId="0" applyFont="1" applyFill="1" applyBorder="1" applyAlignment="1" applyProtection="1">
      <alignment horizontal="center" vertical="center"/>
      <protection hidden="1"/>
    </xf>
    <xf numFmtId="9" fontId="0" fillId="3" borderId="0" xfId="0" applyNumberFormat="1" applyFill="1" applyAlignment="1" applyProtection="1">
      <alignment wrapText="1"/>
      <protection hidden="1"/>
    </xf>
    <xf numFmtId="0" fontId="6" fillId="4" borderId="1" xfId="0" applyFont="1" applyFill="1" applyBorder="1" applyAlignment="1" applyProtection="1">
      <alignment horizontal="center" vertical="center"/>
      <protection hidden="1"/>
    </xf>
    <xf numFmtId="9" fontId="8" fillId="5" borderId="1" xfId="1" applyFont="1" applyFill="1" applyBorder="1" applyAlignment="1" applyProtection="1">
      <alignment vertical="center" wrapText="1"/>
      <protection hidden="1"/>
    </xf>
    <xf numFmtId="9" fontId="8" fillId="5" borderId="1" xfId="1" applyFont="1" applyFill="1" applyBorder="1" applyAlignment="1" applyProtection="1">
      <alignment horizontal="center" vertical="center" wrapText="1"/>
      <protection hidden="1"/>
    </xf>
    <xf numFmtId="0" fontId="15" fillId="6" borderId="1" xfId="0" applyFont="1" applyFill="1" applyBorder="1" applyAlignment="1" applyProtection="1">
      <alignment horizontal="center" vertical="center" wrapText="1"/>
      <protection hidden="1"/>
    </xf>
    <xf numFmtId="9" fontId="17" fillId="5" borderId="1" xfId="1" applyFont="1" applyFill="1" applyBorder="1" applyAlignment="1" applyProtection="1">
      <alignment horizontal="center" vertical="center" wrapText="1"/>
      <protection hidden="1"/>
    </xf>
    <xf numFmtId="0" fontId="9" fillId="3" borderId="1" xfId="0" applyFont="1" applyFill="1" applyBorder="1" applyProtection="1">
      <protection hidden="1"/>
    </xf>
    <xf numFmtId="0" fontId="16" fillId="0" borderId="0" xfId="0" applyFont="1" applyProtection="1">
      <protection hidden="1"/>
    </xf>
    <xf numFmtId="0" fontId="9" fillId="6" borderId="5" xfId="0" applyFont="1" applyFill="1" applyBorder="1" applyAlignment="1" applyProtection="1">
      <alignment horizontal="center" vertical="center" wrapText="1"/>
      <protection hidden="1"/>
    </xf>
    <xf numFmtId="0" fontId="9" fillId="8" borderId="1" xfId="0" applyFont="1" applyFill="1" applyBorder="1" applyAlignment="1" applyProtection="1">
      <alignment horizontal="center" vertical="center" wrapText="1"/>
      <protection hidden="1"/>
    </xf>
    <xf numFmtId="0" fontId="9" fillId="3" borderId="5" xfId="0" applyFont="1" applyFill="1" applyBorder="1" applyAlignment="1" applyProtection="1">
      <alignment vertical="center"/>
      <protection hidden="1"/>
    </xf>
    <xf numFmtId="0" fontId="6" fillId="4" borderId="1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center" indent="1"/>
    </xf>
    <xf numFmtId="0" fontId="12" fillId="2" borderId="1" xfId="0" applyFont="1" applyFill="1" applyBorder="1" applyAlignment="1" applyProtection="1">
      <alignment horizontal="center" vertical="center" wrapText="1"/>
      <protection hidden="1"/>
    </xf>
    <xf numFmtId="0" fontId="1" fillId="3" borderId="0" xfId="0" applyFont="1" applyFill="1" applyProtection="1">
      <protection hidden="1"/>
    </xf>
    <xf numFmtId="0" fontId="20" fillId="3" borderId="0" xfId="0" applyFont="1" applyFill="1" applyProtection="1">
      <protection hidden="1"/>
    </xf>
    <xf numFmtId="0" fontId="19" fillId="3" borderId="0" xfId="0" applyFont="1" applyFill="1" applyProtection="1">
      <protection hidden="1"/>
    </xf>
    <xf numFmtId="0" fontId="1" fillId="3" borderId="0" xfId="0" applyFont="1" applyFill="1" applyAlignment="1" applyProtection="1">
      <alignment wrapText="1"/>
      <protection hidden="1"/>
    </xf>
    <xf numFmtId="0" fontId="13" fillId="4" borderId="1" xfId="0" applyFont="1" applyFill="1" applyBorder="1" applyAlignment="1" applyProtection="1">
      <alignment horizontal="center" vertical="center" wrapText="1"/>
      <protection hidden="1"/>
    </xf>
    <xf numFmtId="0" fontId="0" fillId="0" borderId="13" xfId="0" applyBorder="1" applyProtection="1">
      <protection hidden="1"/>
    </xf>
    <xf numFmtId="0" fontId="16" fillId="0" borderId="13" xfId="0" applyFont="1" applyBorder="1" applyProtection="1">
      <protection hidden="1"/>
    </xf>
    <xf numFmtId="0" fontId="0" fillId="0" borderId="13" xfId="0" applyBorder="1" applyAlignment="1" applyProtection="1">
      <alignment wrapText="1"/>
      <protection hidden="1"/>
    </xf>
    <xf numFmtId="0" fontId="0" fillId="3" borderId="13" xfId="0" applyFill="1" applyBorder="1" applyProtection="1">
      <protection hidden="1"/>
    </xf>
    <xf numFmtId="0" fontId="16" fillId="2" borderId="0" xfId="0" applyFont="1" applyFill="1" applyProtection="1">
      <protection hidden="1"/>
    </xf>
    <xf numFmtId="0" fontId="0" fillId="0" borderId="1" xfId="0" applyBorder="1" applyAlignment="1" applyProtection="1">
      <alignment vertic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vertical="center" wrapText="1"/>
      <protection locked="0"/>
    </xf>
    <xf numFmtId="0" fontId="0" fillId="3" borderId="1" xfId="0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5" fillId="9" borderId="1" xfId="0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9" fillId="3" borderId="0" xfId="0" applyFont="1" applyFill="1" applyProtection="1">
      <protection locked="0"/>
    </xf>
    <xf numFmtId="0" fontId="1" fillId="3" borderId="0" xfId="0" applyFont="1" applyFill="1" applyProtection="1">
      <protection locked="0"/>
    </xf>
    <xf numFmtId="0" fontId="6" fillId="2" borderId="6" xfId="0" applyFont="1" applyFill="1" applyBorder="1" applyAlignment="1" applyProtection="1">
      <alignment horizontal="center" vertical="center" wrapText="1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13" xfId="0" applyFont="1" applyBorder="1" applyAlignment="1" applyProtection="1">
      <alignment vertical="center"/>
      <protection hidden="1"/>
    </xf>
    <xf numFmtId="0" fontId="19" fillId="3" borderId="0" xfId="0" applyFont="1" applyFill="1" applyAlignment="1" applyProtection="1">
      <alignment vertical="center"/>
      <protection hidden="1"/>
    </xf>
    <xf numFmtId="0" fontId="20" fillId="3" borderId="0" xfId="0" applyFont="1" applyFill="1" applyAlignment="1" applyProtection="1">
      <alignment vertical="center"/>
      <protection hidden="1"/>
    </xf>
    <xf numFmtId="0" fontId="9" fillId="3" borderId="0" xfId="0" applyFont="1" applyFill="1" applyAlignment="1" applyProtection="1">
      <alignment vertical="center"/>
      <protection hidden="1"/>
    </xf>
    <xf numFmtId="0" fontId="7" fillId="2" borderId="9" xfId="0" applyFont="1" applyFill="1" applyBorder="1" applyAlignment="1" applyProtection="1">
      <alignment horizontal="center" vertical="center" wrapText="1"/>
      <protection hidden="1"/>
    </xf>
    <xf numFmtId="0" fontId="7" fillId="2" borderId="8" xfId="0" applyFont="1" applyFill="1" applyBorder="1" applyAlignment="1" applyProtection="1">
      <alignment horizontal="center" vertical="center"/>
      <protection hidden="1"/>
    </xf>
    <xf numFmtId="0" fontId="7" fillId="2" borderId="7" xfId="0" applyFont="1" applyFill="1" applyBorder="1" applyAlignment="1" applyProtection="1">
      <alignment horizontal="center" vertical="center"/>
      <protection hidden="1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18" fillId="3" borderId="1" xfId="0" applyFont="1" applyFill="1" applyBorder="1" applyAlignment="1" applyProtection="1">
      <alignment horizontal="center" vertical="center"/>
      <protection locked="0"/>
    </xf>
    <xf numFmtId="9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6" fillId="2" borderId="6" xfId="0" applyFont="1" applyFill="1" applyBorder="1" applyAlignment="1" applyProtection="1">
      <alignment horizontal="center" vertical="center" wrapText="1"/>
      <protection hidden="1"/>
    </xf>
    <xf numFmtId="0" fontId="6" fillId="2" borderId="14" xfId="0" applyFont="1" applyFill="1" applyBorder="1" applyAlignment="1" applyProtection="1">
      <alignment horizontal="center" vertical="center" wrapText="1"/>
      <protection hidden="1"/>
    </xf>
    <xf numFmtId="0" fontId="6" fillId="2" borderId="9" xfId="0" applyFont="1" applyFill="1" applyBorder="1" applyAlignment="1" applyProtection="1">
      <alignment horizontal="center" vertical="center"/>
      <protection hidden="1"/>
    </xf>
    <xf numFmtId="0" fontId="6" fillId="2" borderId="7" xfId="0" applyFont="1" applyFill="1" applyBorder="1" applyAlignment="1" applyProtection="1">
      <alignment horizontal="center" vertical="center"/>
      <protection hidden="1"/>
    </xf>
    <xf numFmtId="0" fontId="6" fillId="2" borderId="10" xfId="0" applyFont="1" applyFill="1" applyBorder="1" applyAlignment="1" applyProtection="1">
      <alignment horizontal="center" vertical="center"/>
      <protection hidden="1"/>
    </xf>
    <xf numFmtId="0" fontId="6" fillId="2" borderId="12" xfId="0" applyFont="1" applyFill="1" applyBorder="1" applyAlignment="1" applyProtection="1">
      <alignment horizontal="center" vertical="center"/>
      <protection hidden="1"/>
    </xf>
    <xf numFmtId="0" fontId="5" fillId="3" borderId="4" xfId="0" applyFont="1" applyFill="1" applyBorder="1" applyAlignment="1" applyProtection="1">
      <alignment horizontal="center" vertical="center"/>
      <protection hidden="1"/>
    </xf>
    <xf numFmtId="0" fontId="5" fillId="3" borderId="3" xfId="0" applyFont="1" applyFill="1" applyBorder="1" applyAlignment="1" applyProtection="1">
      <alignment horizontal="center" vertical="center"/>
      <protection hidden="1"/>
    </xf>
    <xf numFmtId="0" fontId="6" fillId="2" borderId="5" xfId="0" applyFont="1" applyFill="1" applyBorder="1" applyAlignment="1" applyProtection="1">
      <alignment horizontal="center" vertical="center"/>
      <protection hidden="1"/>
    </xf>
    <xf numFmtId="0" fontId="6" fillId="2" borderId="4" xfId="0" applyFont="1" applyFill="1" applyBorder="1" applyAlignment="1" applyProtection="1">
      <alignment horizontal="center" vertical="center"/>
      <protection hidden="1"/>
    </xf>
    <xf numFmtId="0" fontId="6" fillId="2" borderId="3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6" fillId="2" borderId="13" xfId="0" applyFont="1" applyFill="1" applyBorder="1" applyAlignment="1" applyProtection="1">
      <alignment horizontal="center" vertical="center" wrapText="1"/>
      <protection hidden="1"/>
    </xf>
    <xf numFmtId="0" fontId="6" fillId="2" borderId="2" xfId="0" applyFont="1" applyFill="1" applyBorder="1" applyAlignment="1" applyProtection="1">
      <alignment horizontal="center" vertical="center" wrapText="1"/>
      <protection hidden="1"/>
    </xf>
    <xf numFmtId="0" fontId="6" fillId="2" borderId="10" xfId="0" applyFont="1" applyFill="1" applyBorder="1" applyAlignment="1" applyProtection="1">
      <alignment horizontal="center" vertical="center" wrapText="1"/>
      <protection hidden="1"/>
    </xf>
    <xf numFmtId="0" fontId="6" fillId="2" borderId="11" xfId="0" applyFont="1" applyFill="1" applyBorder="1" applyAlignment="1" applyProtection="1">
      <alignment horizontal="center" vertical="center" wrapText="1"/>
      <protection hidden="1"/>
    </xf>
    <xf numFmtId="0" fontId="6" fillId="7" borderId="1" xfId="0" applyFont="1" applyFill="1" applyBorder="1" applyAlignment="1" applyProtection="1">
      <alignment horizontal="center" vertical="center" wrapText="1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14" fillId="2" borderId="4" xfId="0" applyFont="1" applyFill="1" applyBorder="1" applyAlignment="1" applyProtection="1">
      <alignment horizontal="center" vertical="center"/>
      <protection hidden="1"/>
    </xf>
    <xf numFmtId="0" fontId="14" fillId="2" borderId="3" xfId="0" applyFont="1" applyFill="1" applyBorder="1" applyAlignment="1" applyProtection="1">
      <alignment horizontal="center" vertical="center"/>
      <protection hidden="1"/>
    </xf>
    <xf numFmtId="0" fontId="16" fillId="3" borderId="5" xfId="0" applyFont="1" applyFill="1" applyBorder="1" applyAlignment="1" applyProtection="1">
      <alignment horizontal="center"/>
      <protection hidden="1"/>
    </xf>
    <xf numFmtId="0" fontId="16" fillId="3" borderId="4" xfId="0" applyFont="1" applyFill="1" applyBorder="1" applyAlignment="1" applyProtection="1">
      <alignment horizontal="center"/>
      <protection hidden="1"/>
    </xf>
    <xf numFmtId="0" fontId="16" fillId="3" borderId="3" xfId="0" applyFont="1" applyFill="1" applyBorder="1" applyAlignment="1" applyProtection="1">
      <alignment horizontal="center"/>
      <protection hidden="1"/>
    </xf>
    <xf numFmtId="0" fontId="15" fillId="6" borderId="1" xfId="0" applyFont="1" applyFill="1" applyBorder="1" applyAlignment="1" applyProtection="1">
      <alignment horizontal="center" vertical="center"/>
      <protection hidden="1"/>
    </xf>
    <xf numFmtId="0" fontId="15" fillId="6" borderId="5" xfId="0" applyFont="1" applyFill="1" applyBorder="1" applyAlignment="1" applyProtection="1">
      <alignment horizontal="center" vertical="center"/>
      <protection hidden="1"/>
    </xf>
    <xf numFmtId="0" fontId="15" fillId="6" borderId="4" xfId="0" applyFont="1" applyFill="1" applyBorder="1" applyAlignment="1" applyProtection="1">
      <alignment horizontal="center" vertical="center"/>
      <protection hidden="1"/>
    </xf>
    <xf numFmtId="0" fontId="15" fillId="6" borderId="3" xfId="0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 wrapText="1"/>
      <protection hidden="1"/>
    </xf>
    <xf numFmtId="0" fontId="16" fillId="3" borderId="0" xfId="0" applyFont="1" applyFill="1" applyAlignment="1" applyProtection="1">
      <alignment horizontal="left"/>
      <protection hidden="1"/>
    </xf>
    <xf numFmtId="0" fontId="16" fillId="3" borderId="0" xfId="0" applyFont="1" applyFill="1" applyAlignment="1" applyProtection="1">
      <alignment horizontal="left" vertical="center"/>
      <protection hidden="1"/>
    </xf>
    <xf numFmtId="0" fontId="11" fillId="3" borderId="4" xfId="0" applyFont="1" applyFill="1" applyBorder="1" applyAlignment="1" applyProtection="1">
      <alignment horizontal="center" vertical="center" wrapText="1"/>
      <protection locked="0"/>
    </xf>
    <xf numFmtId="0" fontId="11" fillId="3" borderId="3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wrapText="1"/>
      <protection locked="0"/>
    </xf>
  </cellXfs>
  <cellStyles count="2">
    <cellStyle name="Normal" xfId="0" builtinId="0"/>
    <cellStyle name="Porcentaje" xfId="1" builtinId="5"/>
  </cellStyles>
  <dxfs count="2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1" defaultTableStyle="TableStyleMedium2" defaultPivotStyle="PivotStyleLight16">
    <tableStyle name="Invisible" pivot="0" table="0" count="0" xr9:uid="{CA2DF335-4EC0-4A6A-8623-F3E0199DFD56}"/>
  </tableStyles>
  <colors>
    <mruColors>
      <color rgb="FFFFC000"/>
      <color rgb="FFF8F9FA"/>
      <color rgb="FF7F8C8D"/>
      <color rgb="FFF2F4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EC" sz="1800">
                <a:solidFill>
                  <a:sysClr val="windowText" lastClr="000000"/>
                </a:solidFill>
              </a:rPr>
              <a:t>Porcentaje de estudiantes que lograron el Resultado de Aprendizaje/Competencia</a:t>
            </a:r>
          </a:p>
        </c:rich>
      </c:tx>
      <c:layout>
        <c:manualLayout>
          <c:xMode val="edge"/>
          <c:yMode val="edge"/>
          <c:x val="0.3671507451770800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9.436301284224459E-2"/>
          <c:y val="5.8391730201422479E-2"/>
          <c:w val="0.8759840118933091"/>
          <c:h val="0.79197839861183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'Reporte de medición'!$E$26:$H$26</c:f>
              <c:strCache>
                <c:ptCount val="4"/>
                <c:pt idx="0">
                  <c:v>Describa criterio 1</c:v>
                </c:pt>
                <c:pt idx="1">
                  <c:v>Describa criterio 2</c:v>
                </c:pt>
                <c:pt idx="2">
                  <c:v>Describa criterio 3</c:v>
                </c:pt>
                <c:pt idx="3">
                  <c:v>Describa criterio 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'Reporte de medición'!$E$26:$H$26</c:f>
              <c:strCache>
                <c:ptCount val="4"/>
                <c:pt idx="0">
                  <c:v>Describa criterio 1</c:v>
                </c:pt>
                <c:pt idx="1">
                  <c:v>Describa criterio 2</c:v>
                </c:pt>
                <c:pt idx="2">
                  <c:v>Describa criterio 3</c:v>
                </c:pt>
                <c:pt idx="3">
                  <c:v>Describa criterio 4</c:v>
                </c:pt>
              </c:strCache>
            </c:strRef>
          </c:cat>
          <c:val>
            <c:numRef>
              <c:f>'Reporte de medición'!$E$86:$H$86</c:f>
              <c:numCache>
                <c:formatCode>0%</c:formatCode>
                <c:ptCount val="4"/>
                <c:pt idx="0">
                  <c:v>0.8666666666666667</c:v>
                </c:pt>
                <c:pt idx="1">
                  <c:v>0.8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F-41FF-A3BB-53463055C18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2058598544"/>
        <c:axId val="1840627888"/>
      </c:barChart>
      <c:lineChart>
        <c:grouping val="standard"/>
        <c:varyColors val="0"/>
        <c:ser>
          <c:idx val="1"/>
          <c:order val="1"/>
          <c:tx>
            <c:strRef>
              <c:f>'Reporte de medición'!$E$26:$H$26</c:f>
              <c:strCache>
                <c:ptCount val="4"/>
                <c:pt idx="0">
                  <c:v>Describa criterio 1</c:v>
                </c:pt>
                <c:pt idx="1">
                  <c:v>Describa criterio 2</c:v>
                </c:pt>
                <c:pt idx="2">
                  <c:v>Describa criterio 3</c:v>
                </c:pt>
                <c:pt idx="3">
                  <c:v>Describa criterio 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'Reporte de medición'!$E$21:$H$21</c:f>
            </c:numRef>
          </c:val>
          <c:smooth val="1"/>
          <c:extLst>
            <c:ext xmlns:c16="http://schemas.microsoft.com/office/drawing/2014/chart" uri="{C3380CC4-5D6E-409C-BE32-E72D297353CC}">
              <c16:uniqueId val="{00000005-467F-41FF-A3BB-53463055C18D}"/>
            </c:ext>
          </c:extLst>
        </c:ser>
        <c:ser>
          <c:idx val="2"/>
          <c:order val="2"/>
          <c:tx>
            <c:v>Meta</c:v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dk1"/>
              </a:solidFill>
              <a:ln w="15875">
                <a:solidFill>
                  <a:schemeClr val="tx1"/>
                </a:solidFill>
                <a:round/>
              </a:ln>
              <a:effectLst/>
            </c:spPr>
          </c:marker>
          <c:trendline>
            <c:spPr>
              <a:ln w="19050" cap="flat" cmpd="sng" algn="ctr">
                <a:solidFill>
                  <a:schemeClr val="tx1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0"/>
          </c:trendline>
          <c:val>
            <c:numRef>
              <c:f>'Reporte de medición'!$E$89:$H$89</c:f>
              <c:numCache>
                <c:formatCode>0%</c:formatCode>
                <c:ptCount val="4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62-48B2-84CD-860D93C1A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598544"/>
        <c:axId val="1840627888"/>
      </c:lineChart>
      <c:catAx>
        <c:axId val="2058598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Criterios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40627888"/>
        <c:crossesAt val="0"/>
        <c:auto val="1"/>
        <c:lblAlgn val="ctr"/>
        <c:lblOffset val="100"/>
        <c:noMultiLvlLbl val="0"/>
      </c:catAx>
      <c:valAx>
        <c:axId val="18406278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Porcentaje de estudiantes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5859854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</c:legendEntry>
      <c:legendEntry>
        <c:idx val="2"/>
        <c:delete val="1"/>
      </c:legendEntry>
      <c:layout>
        <c:manualLayout>
          <c:xMode val="edge"/>
          <c:yMode val="edge"/>
          <c:x val="0.94001033578929438"/>
          <c:y val="1.8407471239809896E-2"/>
          <c:w val="5.3567346915989765E-2"/>
          <c:h val="4.71689215408495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108220</xdr:colOff>
      <xdr:row>1</xdr:row>
      <xdr:rowOff>314281</xdr:rowOff>
    </xdr:from>
    <xdr:to>
      <xdr:col>1</xdr:col>
      <xdr:colOff>1849440</xdr:colOff>
      <xdr:row>2</xdr:row>
      <xdr:rowOff>310466</xdr:rowOff>
    </xdr:to>
    <xdr:pic>
      <xdr:nvPicPr>
        <xdr:cNvPr id="4" name="Imagen 3" descr="ESPOL - SGAP - Plataforma de Postgrados ESPOL :: Iniciar sesión">
          <a:extLst>
            <a:ext uri="{FF2B5EF4-FFF2-40B4-BE49-F238E27FC236}">
              <a16:creationId xmlns:a16="http://schemas.microsoft.com/office/drawing/2014/main" id="{1A6538F9-825B-4457-B946-FAC2C897EBC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963" y="499338"/>
          <a:ext cx="1741220" cy="64932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875556</xdr:colOff>
      <xdr:row>89</xdr:row>
      <xdr:rowOff>38101</xdr:rowOff>
    </xdr:from>
    <xdr:to>
      <xdr:col>8</xdr:col>
      <xdr:colOff>25082</xdr:colOff>
      <xdr:row>125</xdr:row>
      <xdr:rowOff>114605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F795E96-31EC-4B0E-A983-E6E913955826}"/>
            </a:ext>
            <a:ext uri="{147F2762-F138-4A5C-976F-8EAC2B608ADB}">
              <a16:predDERef xmlns:a16="http://schemas.microsoft.com/office/drawing/2014/main" pred="{F4D4F590-3D79-4BD1-A104-A791186EE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81019</xdr:colOff>
      <xdr:row>1</xdr:row>
      <xdr:rowOff>537007</xdr:rowOff>
    </xdr:from>
    <xdr:to>
      <xdr:col>8</xdr:col>
      <xdr:colOff>721247</xdr:colOff>
      <xdr:row>2</xdr:row>
      <xdr:rowOff>284332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C9FEE31E-F67F-3054-1128-E6652B25FBEC}"/>
            </a:ext>
          </a:extLst>
        </xdr:cNvPr>
        <xdr:cNvSpPr/>
      </xdr:nvSpPr>
      <xdr:spPr>
        <a:xfrm rot="5400000">
          <a:off x="16973022" y="602347"/>
          <a:ext cx="406967" cy="640228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44823</xdr:colOff>
      <xdr:row>1</xdr:row>
      <xdr:rowOff>66066</xdr:rowOff>
    </xdr:from>
    <xdr:to>
      <xdr:col>14</xdr:col>
      <xdr:colOff>390938</xdr:colOff>
      <xdr:row>9</xdr:row>
      <xdr:rowOff>909851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644D015-7222-F2AB-8DA5-3CA4F1F0D3E3}"/>
            </a:ext>
          </a:extLst>
        </xdr:cNvPr>
        <xdr:cNvSpPr txBox="1"/>
      </xdr:nvSpPr>
      <xdr:spPr>
        <a:xfrm>
          <a:off x="17616316" y="248036"/>
          <a:ext cx="4326712" cy="33231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600" b="1"/>
            <a:t>- Escriba el nombre oficial de la facultad responsable de la medición.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600" b="1">
              <a:solidFill>
                <a:schemeClr val="dk1"/>
              </a:solidFill>
              <a:latin typeface="+mn-lt"/>
              <a:ea typeface="+mn-ea"/>
              <a:cs typeface="+mn-cs"/>
            </a:rPr>
            <a:t>- Las Mediciones de Competencias sólo aplica a las carreras y programas de FADCOM y la carrera de Nutrición, de acuerdo su agencia de acreditación.</a:t>
          </a:r>
        </a:p>
        <a:p>
          <a:r>
            <a:rPr lang="es-EC" sz="1600" b="1"/>
            <a:t>- Transcriba el Resultado de Aprendizaje/Competencias, (Considerar Competencias para FADCOM y Nutrición) exactamente como está definido en la rúbrica, política de medición o documento oficial del programa.</a:t>
          </a:r>
          <a:br>
            <a:rPr lang="es-EC" sz="1600" b="1"/>
          </a:br>
          <a:r>
            <a:rPr lang="es-EC" sz="1600" b="1"/>
            <a:t>No resumir, reinterpretar ni modificar la redacción.</a:t>
          </a:r>
        </a:p>
      </xdr:txBody>
    </xdr:sp>
    <xdr:clientData/>
  </xdr:twoCellAnchor>
  <xdr:twoCellAnchor>
    <xdr:from>
      <xdr:col>8</xdr:col>
      <xdr:colOff>46060</xdr:colOff>
      <xdr:row>3</xdr:row>
      <xdr:rowOff>46841</xdr:rowOff>
    </xdr:from>
    <xdr:to>
      <xdr:col>8</xdr:col>
      <xdr:colOff>736600</xdr:colOff>
      <xdr:row>3</xdr:row>
      <xdr:rowOff>432182</xdr:rowOff>
    </xdr:to>
    <xdr:sp macro="" textlink="">
      <xdr:nvSpPr>
        <xdr:cNvPr id="8" name="Arrow: Down 1">
          <a:extLst>
            <a:ext uri="{FF2B5EF4-FFF2-40B4-BE49-F238E27FC236}">
              <a16:creationId xmlns:a16="http://schemas.microsoft.com/office/drawing/2014/main" id="{EA5D1ABE-68A7-4E7F-BF47-5DD6B18F776D}"/>
            </a:ext>
          </a:extLst>
        </xdr:cNvPr>
        <xdr:cNvSpPr/>
      </xdr:nvSpPr>
      <xdr:spPr>
        <a:xfrm rot="5400000">
          <a:off x="16974032" y="735854"/>
          <a:ext cx="385341" cy="690540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741445</xdr:colOff>
      <xdr:row>25</xdr:row>
      <xdr:rowOff>1022877</xdr:rowOff>
    </xdr:from>
    <xdr:to>
      <xdr:col>14</xdr:col>
      <xdr:colOff>11663</xdr:colOff>
      <xdr:row>28</xdr:row>
      <xdr:rowOff>121479</xdr:rowOff>
    </xdr:to>
    <xdr:sp macro="" textlink="">
      <xdr:nvSpPr>
        <xdr:cNvPr id="9" name="TextBox 9">
          <a:extLst>
            <a:ext uri="{FF2B5EF4-FFF2-40B4-BE49-F238E27FC236}">
              <a16:creationId xmlns:a16="http://schemas.microsoft.com/office/drawing/2014/main" id="{B90310EE-61DA-4114-9F6A-68A03E0FCD0F}"/>
            </a:ext>
          </a:extLst>
        </xdr:cNvPr>
        <xdr:cNvSpPr txBox="1"/>
      </xdr:nvSpPr>
      <xdr:spPr>
        <a:xfrm>
          <a:off x="17406054" y="9106703"/>
          <a:ext cx="4041000" cy="88764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600" b="1"/>
            <a:t>La medición debe basarse en evidencias directas del desempeño del estudiante,</a:t>
          </a:r>
          <a:r>
            <a:rPr lang="es-EC" sz="1600" b="1" baseline="0"/>
            <a:t> según la rúbrica del RA</a:t>
          </a:r>
          <a:endParaRPr lang="en-US" sz="1600" b="1"/>
        </a:p>
      </xdr:txBody>
    </xdr:sp>
    <xdr:clientData/>
  </xdr:twoCellAnchor>
  <xdr:twoCellAnchor>
    <xdr:from>
      <xdr:col>8</xdr:col>
      <xdr:colOff>102345</xdr:colOff>
      <xdr:row>26</xdr:row>
      <xdr:rowOff>17031</xdr:rowOff>
    </xdr:from>
    <xdr:to>
      <xdr:col>8</xdr:col>
      <xdr:colOff>739912</xdr:colOff>
      <xdr:row>26</xdr:row>
      <xdr:rowOff>375478</xdr:rowOff>
    </xdr:to>
    <xdr:sp macro="" textlink="">
      <xdr:nvSpPr>
        <xdr:cNvPr id="13" name="Arrow: Down 2">
          <a:extLst>
            <a:ext uri="{FF2B5EF4-FFF2-40B4-BE49-F238E27FC236}">
              <a16:creationId xmlns:a16="http://schemas.microsoft.com/office/drawing/2014/main" id="{B62FCEB8-041F-4624-A2D1-29A477973026}"/>
            </a:ext>
          </a:extLst>
        </xdr:cNvPr>
        <xdr:cNvSpPr/>
      </xdr:nvSpPr>
      <xdr:spPr>
        <a:xfrm rot="5400000">
          <a:off x="16906514" y="9087732"/>
          <a:ext cx="358447" cy="637567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25709</xdr:colOff>
      <xdr:row>80</xdr:row>
      <xdr:rowOff>730715</xdr:rowOff>
    </xdr:from>
    <xdr:to>
      <xdr:col>14</xdr:col>
      <xdr:colOff>95098</xdr:colOff>
      <xdr:row>84</xdr:row>
      <xdr:rowOff>451934</xdr:rowOff>
    </xdr:to>
    <xdr:sp macro="" textlink="">
      <xdr:nvSpPr>
        <xdr:cNvPr id="14" name="TextBox 9">
          <a:extLst>
            <a:ext uri="{FF2B5EF4-FFF2-40B4-BE49-F238E27FC236}">
              <a16:creationId xmlns:a16="http://schemas.microsoft.com/office/drawing/2014/main" id="{C390A493-049F-4C7E-A57F-FE504E0FA211}"/>
            </a:ext>
          </a:extLst>
        </xdr:cNvPr>
        <xdr:cNvSpPr txBox="1"/>
      </xdr:nvSpPr>
      <xdr:spPr>
        <a:xfrm>
          <a:off x="17488209" y="22587415"/>
          <a:ext cx="4006389" cy="26422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600" b="1"/>
            <a:t>En esta sección se consolida el desempeño de los estudiantes por cada criterio del Resultado de Aprendizaje. Los valores de I, D, S y E se</a:t>
          </a:r>
          <a:r>
            <a:rPr lang="es-EC" sz="1600" b="1" baseline="0"/>
            <a:t> visualizan en porcentaje de estudiantes</a:t>
          </a:r>
          <a:r>
            <a:rPr lang="es-EC" sz="1600" b="1"/>
            <a:t>.</a:t>
          </a:r>
        </a:p>
        <a:p>
          <a:endParaRPr lang="es-EC" sz="1600" b="1"/>
        </a:p>
        <a:p>
          <a:r>
            <a:rPr lang="es-EC" sz="1600" b="1"/>
            <a:t> El porcentaje de logro se obtiene con los</a:t>
          </a:r>
          <a:r>
            <a:rPr lang="es-EC" sz="1600" b="1" baseline="0"/>
            <a:t> % de estudiantes de</a:t>
          </a:r>
          <a:r>
            <a:rPr lang="es-EC" sz="1600" b="1"/>
            <a:t> niveles Satisfactorio + Ejemplar.</a:t>
          </a:r>
          <a:endParaRPr lang="en-US" sz="1600" b="1"/>
        </a:p>
      </xdr:txBody>
    </xdr:sp>
    <xdr:clientData/>
  </xdr:twoCellAnchor>
  <xdr:twoCellAnchor>
    <xdr:from>
      <xdr:col>8</xdr:col>
      <xdr:colOff>146462</xdr:colOff>
      <xdr:row>81</xdr:row>
      <xdr:rowOff>538977</xdr:rowOff>
    </xdr:from>
    <xdr:to>
      <xdr:col>8</xdr:col>
      <xdr:colOff>780978</xdr:colOff>
      <xdr:row>82</xdr:row>
      <xdr:rowOff>148684</xdr:rowOff>
    </xdr:to>
    <xdr:sp macro="" textlink="">
      <xdr:nvSpPr>
        <xdr:cNvPr id="15" name="Arrow: Down 2">
          <a:extLst>
            <a:ext uri="{FF2B5EF4-FFF2-40B4-BE49-F238E27FC236}">
              <a16:creationId xmlns:a16="http://schemas.microsoft.com/office/drawing/2014/main" id="{DCE01FB9-0EAC-41DD-9761-22432C94C468}"/>
            </a:ext>
          </a:extLst>
        </xdr:cNvPr>
        <xdr:cNvSpPr/>
      </xdr:nvSpPr>
      <xdr:spPr>
        <a:xfrm rot="5400000">
          <a:off x="17087359" y="23540528"/>
          <a:ext cx="303468" cy="634516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42126</xdr:colOff>
      <xdr:row>95</xdr:row>
      <xdr:rowOff>127001</xdr:rowOff>
    </xdr:from>
    <xdr:to>
      <xdr:col>14</xdr:col>
      <xdr:colOff>111515</xdr:colOff>
      <xdr:row>109</xdr:row>
      <xdr:rowOff>127001</xdr:rowOff>
    </xdr:to>
    <xdr:sp macro="" textlink="">
      <xdr:nvSpPr>
        <xdr:cNvPr id="16" name="TextBox 9">
          <a:extLst>
            <a:ext uri="{FF2B5EF4-FFF2-40B4-BE49-F238E27FC236}">
              <a16:creationId xmlns:a16="http://schemas.microsoft.com/office/drawing/2014/main" id="{6C50FF1E-D8F0-46B1-861B-33EB0619F1A0}"/>
            </a:ext>
          </a:extLst>
        </xdr:cNvPr>
        <xdr:cNvSpPr txBox="1"/>
      </xdr:nvSpPr>
      <xdr:spPr>
        <a:xfrm>
          <a:off x="17504626" y="27978101"/>
          <a:ext cx="4006389" cy="2489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600" b="1"/>
            <a:t>La gráfica muestra el porcentaje de estudiantes que lograron cada criterio del Resultado de Aprendizaje, comparado con la meta establecida.</a:t>
          </a:r>
        </a:p>
        <a:p>
          <a:endParaRPr lang="es-EC" sz="1600" b="1"/>
        </a:p>
        <a:p>
          <a:r>
            <a:rPr lang="es-EC" sz="1600" b="1"/>
            <a:t>La línea de meta representa el porcentaje mínimo esperado de logro. Los criterios por debajo de esta línea es importante</a:t>
          </a:r>
          <a:r>
            <a:rPr lang="es-EC" sz="1600" b="1" baseline="0"/>
            <a:t> analizar y definir </a:t>
          </a:r>
          <a:r>
            <a:rPr lang="es-EC" sz="1600" b="1"/>
            <a:t>acciones de mejora.</a:t>
          </a:r>
          <a:endParaRPr lang="en-US" sz="1600" b="1"/>
        </a:p>
      </xdr:txBody>
    </xdr:sp>
    <xdr:clientData/>
  </xdr:twoCellAnchor>
  <xdr:twoCellAnchor>
    <xdr:from>
      <xdr:col>8</xdr:col>
      <xdr:colOff>179967</xdr:colOff>
      <xdr:row>97</xdr:row>
      <xdr:rowOff>78061</xdr:rowOff>
    </xdr:from>
    <xdr:to>
      <xdr:col>9</xdr:col>
      <xdr:colOff>18363</xdr:colOff>
      <xdr:row>99</xdr:row>
      <xdr:rowOff>3719</xdr:rowOff>
    </xdr:to>
    <xdr:sp macro="" textlink="">
      <xdr:nvSpPr>
        <xdr:cNvPr id="17" name="Arrow: Down 2">
          <a:extLst>
            <a:ext uri="{FF2B5EF4-FFF2-40B4-BE49-F238E27FC236}">
              <a16:creationId xmlns:a16="http://schemas.microsoft.com/office/drawing/2014/main" id="{E4348409-BD49-45B9-9E5A-B8EF58846C6E}"/>
            </a:ext>
          </a:extLst>
        </xdr:cNvPr>
        <xdr:cNvSpPr/>
      </xdr:nvSpPr>
      <xdr:spPr>
        <a:xfrm rot="5400000">
          <a:off x="17027336" y="28112492"/>
          <a:ext cx="281258" cy="625796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53897</xdr:colOff>
      <xdr:row>86</xdr:row>
      <xdr:rowOff>242231</xdr:rowOff>
    </xdr:from>
    <xdr:to>
      <xdr:col>14</xdr:col>
      <xdr:colOff>123286</xdr:colOff>
      <xdr:row>90</xdr:row>
      <xdr:rowOff>170986</xdr:rowOff>
    </xdr:to>
    <xdr:sp macro="" textlink="">
      <xdr:nvSpPr>
        <xdr:cNvPr id="18" name="TextBox 9">
          <a:extLst>
            <a:ext uri="{FF2B5EF4-FFF2-40B4-BE49-F238E27FC236}">
              <a16:creationId xmlns:a16="http://schemas.microsoft.com/office/drawing/2014/main" id="{39393735-4002-447D-B4A1-44E36FE21FE9}"/>
            </a:ext>
          </a:extLst>
        </xdr:cNvPr>
        <xdr:cNvSpPr txBox="1"/>
      </xdr:nvSpPr>
      <xdr:spPr>
        <a:xfrm>
          <a:off x="17516397" y="25947031"/>
          <a:ext cx="4006389" cy="11860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600" b="1"/>
            <a:t>Si todos los criterios alcanzan o superan la meta, aparece Sí.</a:t>
          </a:r>
          <a:br>
            <a:rPr lang="es-EC" sz="1600" b="1"/>
          </a:br>
          <a:r>
            <a:rPr lang="es-EC" sz="1600" b="1"/>
            <a:t>Si uno o más criterios están por debajo de la meta, aparece No.</a:t>
          </a:r>
        </a:p>
      </xdr:txBody>
    </xdr:sp>
    <xdr:clientData/>
  </xdr:twoCellAnchor>
  <xdr:twoCellAnchor>
    <xdr:from>
      <xdr:col>8</xdr:col>
      <xdr:colOff>170984</xdr:colOff>
      <xdr:row>87</xdr:row>
      <xdr:rowOff>152402</xdr:rowOff>
    </xdr:from>
    <xdr:to>
      <xdr:col>9</xdr:col>
      <xdr:colOff>9380</xdr:colOff>
      <xdr:row>87</xdr:row>
      <xdr:rowOff>449768</xdr:rowOff>
    </xdr:to>
    <xdr:sp macro="" textlink="">
      <xdr:nvSpPr>
        <xdr:cNvPr id="19" name="Arrow: Down 2">
          <a:extLst>
            <a:ext uri="{FF2B5EF4-FFF2-40B4-BE49-F238E27FC236}">
              <a16:creationId xmlns:a16="http://schemas.microsoft.com/office/drawing/2014/main" id="{58A09FE7-AAF6-4A56-BA31-876C624EAC96}"/>
            </a:ext>
          </a:extLst>
        </xdr:cNvPr>
        <xdr:cNvSpPr/>
      </xdr:nvSpPr>
      <xdr:spPr>
        <a:xfrm rot="5400000">
          <a:off x="16993573" y="25834545"/>
          <a:ext cx="297366" cy="637567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42126</xdr:colOff>
      <xdr:row>127</xdr:row>
      <xdr:rowOff>974183</xdr:rowOff>
    </xdr:from>
    <xdr:to>
      <xdr:col>14</xdr:col>
      <xdr:colOff>636858</xdr:colOff>
      <xdr:row>128</xdr:row>
      <xdr:rowOff>952500</xdr:rowOff>
    </xdr:to>
    <xdr:sp macro="" textlink="">
      <xdr:nvSpPr>
        <xdr:cNvPr id="20" name="TextBox 9">
          <a:extLst>
            <a:ext uri="{FF2B5EF4-FFF2-40B4-BE49-F238E27FC236}">
              <a16:creationId xmlns:a16="http://schemas.microsoft.com/office/drawing/2014/main" id="{95BC9571-7944-4AA7-8DFC-42DCD61ACC63}"/>
            </a:ext>
          </a:extLst>
        </xdr:cNvPr>
        <xdr:cNvSpPr txBox="1"/>
      </xdr:nvSpPr>
      <xdr:spPr>
        <a:xfrm>
          <a:off x="17504626" y="33321083"/>
          <a:ext cx="4531732" cy="994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600" b="1"/>
            <a:t>Mejora relacionada con contenidos del curso, metodología, resultado de aprendizaje del curso o refuerzo dentro de la asignatura.</a:t>
          </a:r>
          <a:endParaRPr lang="en-US" sz="1600" b="1"/>
        </a:p>
      </xdr:txBody>
    </xdr:sp>
    <xdr:clientData/>
  </xdr:twoCellAnchor>
  <xdr:twoCellAnchor>
    <xdr:from>
      <xdr:col>9</xdr:col>
      <xdr:colOff>54826</xdr:colOff>
      <xdr:row>129</xdr:row>
      <xdr:rowOff>59783</xdr:rowOff>
    </xdr:from>
    <xdr:to>
      <xdr:col>14</xdr:col>
      <xdr:colOff>649558</xdr:colOff>
      <xdr:row>129</xdr:row>
      <xdr:rowOff>1160060</xdr:rowOff>
    </xdr:to>
    <xdr:sp macro="" textlink="">
      <xdr:nvSpPr>
        <xdr:cNvPr id="21" name="TextBox 9">
          <a:extLst>
            <a:ext uri="{FF2B5EF4-FFF2-40B4-BE49-F238E27FC236}">
              <a16:creationId xmlns:a16="http://schemas.microsoft.com/office/drawing/2014/main" id="{B49A7D6D-4988-464F-9E2E-08222FD594B6}"/>
            </a:ext>
          </a:extLst>
        </xdr:cNvPr>
        <xdr:cNvSpPr txBox="1"/>
      </xdr:nvSpPr>
      <xdr:spPr>
        <a:xfrm>
          <a:off x="17626319" y="35214141"/>
          <a:ext cx="4575329" cy="11002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600" b="1"/>
            <a:t>Mejora que requiere articulación con las materias de la ruta de formación del resultado de aprendizaje.</a:t>
          </a:r>
          <a:r>
            <a:rPr lang="es-EC" sz="1600" b="1" baseline="0"/>
            <a:t> </a:t>
          </a:r>
          <a:endParaRPr lang="en-US" sz="1600" b="1"/>
        </a:p>
      </xdr:txBody>
    </xdr:sp>
    <xdr:clientData/>
  </xdr:twoCellAnchor>
  <xdr:twoCellAnchor>
    <xdr:from>
      <xdr:col>9</xdr:col>
      <xdr:colOff>42126</xdr:colOff>
      <xdr:row>130</xdr:row>
      <xdr:rowOff>161382</xdr:rowOff>
    </xdr:from>
    <xdr:to>
      <xdr:col>14</xdr:col>
      <xdr:colOff>636858</xdr:colOff>
      <xdr:row>132</xdr:row>
      <xdr:rowOff>0</xdr:rowOff>
    </xdr:to>
    <xdr:sp macro="" textlink="">
      <xdr:nvSpPr>
        <xdr:cNvPr id="22" name="TextBox 9">
          <a:extLst>
            <a:ext uri="{FF2B5EF4-FFF2-40B4-BE49-F238E27FC236}">
              <a16:creationId xmlns:a16="http://schemas.microsoft.com/office/drawing/2014/main" id="{8DAEF7B2-EAF6-41F1-A648-CF72D99F0EB0}"/>
            </a:ext>
          </a:extLst>
        </xdr:cNvPr>
        <xdr:cNvSpPr txBox="1"/>
      </xdr:nvSpPr>
      <xdr:spPr>
        <a:xfrm>
          <a:off x="17613619" y="36509919"/>
          <a:ext cx="4575329" cy="12147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600" b="1"/>
            <a:t>Mejora relacionada con la herramienta</a:t>
          </a:r>
          <a:r>
            <a:rPr lang="es-EC" sz="1600" b="1" baseline="0"/>
            <a:t>  de evaluación </a:t>
          </a:r>
          <a:r>
            <a:rPr lang="es-EC" sz="1600" b="1"/>
            <a:t>que mide el Resultado de Aprendizaje.</a:t>
          </a:r>
          <a:endParaRPr lang="en-US" sz="1600" b="1"/>
        </a:p>
      </xdr:txBody>
    </xdr:sp>
    <xdr:clientData/>
  </xdr:twoCellAnchor>
  <xdr:twoCellAnchor>
    <xdr:from>
      <xdr:col>8</xdr:col>
      <xdr:colOff>127000</xdr:colOff>
      <xdr:row>128</xdr:row>
      <xdr:rowOff>304800</xdr:rowOff>
    </xdr:from>
    <xdr:to>
      <xdr:col>8</xdr:col>
      <xdr:colOff>752796</xdr:colOff>
      <xdr:row>128</xdr:row>
      <xdr:rowOff>586058</xdr:rowOff>
    </xdr:to>
    <xdr:sp macro="" textlink="">
      <xdr:nvSpPr>
        <xdr:cNvPr id="23" name="Arrow: Down 2">
          <a:extLst>
            <a:ext uri="{FF2B5EF4-FFF2-40B4-BE49-F238E27FC236}">
              <a16:creationId xmlns:a16="http://schemas.microsoft.com/office/drawing/2014/main" id="{7959BBE6-A20D-4A43-82E3-0BDC03531C8A}"/>
            </a:ext>
          </a:extLst>
        </xdr:cNvPr>
        <xdr:cNvSpPr/>
      </xdr:nvSpPr>
      <xdr:spPr>
        <a:xfrm rot="5400000">
          <a:off x="16974369" y="33495431"/>
          <a:ext cx="281258" cy="625796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114300</xdr:colOff>
      <xdr:row>129</xdr:row>
      <xdr:rowOff>406400</xdr:rowOff>
    </xdr:from>
    <xdr:to>
      <xdr:col>8</xdr:col>
      <xdr:colOff>740096</xdr:colOff>
      <xdr:row>129</xdr:row>
      <xdr:rowOff>687658</xdr:rowOff>
    </xdr:to>
    <xdr:sp macro="" textlink="">
      <xdr:nvSpPr>
        <xdr:cNvPr id="24" name="Arrow: Down 2">
          <a:extLst>
            <a:ext uri="{FF2B5EF4-FFF2-40B4-BE49-F238E27FC236}">
              <a16:creationId xmlns:a16="http://schemas.microsoft.com/office/drawing/2014/main" id="{53F797E9-5EE4-450B-9E3C-82B0DE83465B}"/>
            </a:ext>
          </a:extLst>
        </xdr:cNvPr>
        <xdr:cNvSpPr/>
      </xdr:nvSpPr>
      <xdr:spPr>
        <a:xfrm rot="5400000">
          <a:off x="16961669" y="34790831"/>
          <a:ext cx="281258" cy="625796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</xdr:colOff>
      <xdr:row>130</xdr:row>
      <xdr:rowOff>495300</xdr:rowOff>
    </xdr:from>
    <xdr:to>
      <xdr:col>8</xdr:col>
      <xdr:colOff>663896</xdr:colOff>
      <xdr:row>130</xdr:row>
      <xdr:rowOff>776558</xdr:rowOff>
    </xdr:to>
    <xdr:sp macro="" textlink="">
      <xdr:nvSpPr>
        <xdr:cNvPr id="25" name="Arrow: Down 2">
          <a:extLst>
            <a:ext uri="{FF2B5EF4-FFF2-40B4-BE49-F238E27FC236}">
              <a16:creationId xmlns:a16="http://schemas.microsoft.com/office/drawing/2014/main" id="{A8FB0ECF-E5E1-4AC2-BFAA-29E3469C629F}"/>
            </a:ext>
          </a:extLst>
        </xdr:cNvPr>
        <xdr:cNvSpPr/>
      </xdr:nvSpPr>
      <xdr:spPr>
        <a:xfrm rot="5400000">
          <a:off x="16885469" y="36073531"/>
          <a:ext cx="281258" cy="625796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140547</xdr:colOff>
      <xdr:row>12</xdr:row>
      <xdr:rowOff>357597</xdr:rowOff>
    </xdr:from>
    <xdr:to>
      <xdr:col>14</xdr:col>
      <xdr:colOff>486662</xdr:colOff>
      <xdr:row>14</xdr:row>
      <xdr:rowOff>329821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9C4793AF-BF6E-40FD-8789-EAF71F91F299}"/>
            </a:ext>
          </a:extLst>
        </xdr:cNvPr>
        <xdr:cNvSpPr txBox="1"/>
      </xdr:nvSpPr>
      <xdr:spPr>
        <a:xfrm>
          <a:off x="17712040" y="4724881"/>
          <a:ext cx="4326712" cy="116640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600" b="1"/>
            <a:t>- Describa la actividad evaluada que permite medir este criterio</a:t>
          </a:r>
          <a:endParaRPr lang="en-US" sz="1600" b="1"/>
        </a:p>
      </xdr:txBody>
    </xdr:sp>
    <xdr:clientData/>
  </xdr:twoCellAnchor>
  <xdr:twoCellAnchor>
    <xdr:from>
      <xdr:col>8</xdr:col>
      <xdr:colOff>151342</xdr:colOff>
      <xdr:row>13</xdr:row>
      <xdr:rowOff>123403</xdr:rowOff>
    </xdr:from>
    <xdr:to>
      <xdr:col>8</xdr:col>
      <xdr:colOff>791570</xdr:colOff>
      <xdr:row>13</xdr:row>
      <xdr:rowOff>415121</xdr:rowOff>
    </xdr:to>
    <xdr:sp macro="" textlink="">
      <xdr:nvSpPr>
        <xdr:cNvPr id="10" name="Arrow: Down 1">
          <a:extLst>
            <a:ext uri="{FF2B5EF4-FFF2-40B4-BE49-F238E27FC236}">
              <a16:creationId xmlns:a16="http://schemas.microsoft.com/office/drawing/2014/main" id="{23EA43C3-E9EC-4E99-9F5A-A7B7DD13FE14}"/>
            </a:ext>
          </a:extLst>
        </xdr:cNvPr>
        <xdr:cNvSpPr/>
      </xdr:nvSpPr>
      <xdr:spPr>
        <a:xfrm rot="5400000">
          <a:off x="17100970" y="4850969"/>
          <a:ext cx="291718" cy="640228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guel Angel Briones Jara" id="{43DD32BB-991B-4DE3-9E6C-751402C6970D}" userId="S::mabrione@espol.edu.ec::8400beff-8944-4e5e-8e47-9c32622cebce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06-24T06:42:26.92" personId="{43DD32BB-991B-4DE3-9E6C-751402C6970D}" id="{70895EC0-5DFA-4FA2-AF4C-5D58F1B05779}">
    <text>Registre el nombre de la facultad que pertenece</text>
  </threadedComment>
  <threadedComment ref="D4" dT="2026-06-24T06:42:03.30" personId="{43DD32BB-991B-4DE3-9E6C-751402C6970D}" id="{0D326ADE-1CB6-4AB9-96F2-A73C553C0CC5}">
    <text>Ingrese el nombre del resultado de aprendizaje o competencia a medir</text>
  </threadedComment>
  <threadedComment ref="C7" dT="2026-05-29T17:32:22.07" personId="{43DD32BB-991B-4DE3-9E6C-751402C6970D}" id="{DF51FE54-7EE3-4B00-B747-2A2CA73979E4}">
    <text xml:space="preserve">Ingrese el código oficial de la materia donde se aplicó el instrumento de medición. </text>
  </threadedComment>
  <threadedComment ref="D7" dT="2026-05-29T17:32:37.78" personId="{43DD32BB-991B-4DE3-9E6C-751402C6970D}" id="{19B6CB83-1E29-4149-B970-DFE3676B0F4F}">
    <text xml:space="preserve">Escriba el nombre completo de la asignatura donde se evaluó el Resultado de Aprendizaje. </text>
  </threadedComment>
  <threadedComment ref="E7" dT="2026-05-29T17:32:52.03" personId="{43DD32BB-991B-4DE3-9E6C-751402C6970D}" id="{8150467A-617E-4943-8E45-231A23E0F5A3}">
    <text xml:space="preserve">Registre el nombre del docente responsable de aplicar el instrumento y reportar los resultados de medición. </text>
  </threadedComment>
  <threadedComment ref="F7" dT="2026-05-29T17:34:01.64" personId="{43DD32BB-991B-4DE3-9E6C-751402C6970D}" id="{C128C0D8-489E-4E1B-9823-9AD680BC69AB}">
    <text xml:space="preserve">Indique el porcentaje mínimo esperado de estudiantes que deben alcanzar el nivel satisfactorio o superior.
Lo define el coordinador de acreditación o coordinador del programa
</text>
  </threadedComment>
  <threadedComment ref="G7" dT="2026-05-29T17:34:01.64" personId="{43DD32BB-991B-4DE3-9E6C-751402C6970D}" id="{34269447-6C11-4850-B458-F819FA4B8ED0}">
    <text xml:space="preserve">Indique el porcentaje mínimo esperado de estudiantes que deben alcanzar el nivel satisfactorio o superior.
Lo define el coordinador de acreditación o coordinador del programa
</text>
  </threadedComment>
  <threadedComment ref="C13" dT="2026-05-29T18:18:30.61" personId="{43DD32BB-991B-4DE3-9E6C-751402C6970D}" id="{FBB7DA82-92DB-447E-9ED8-67DB10F2A8A8}">
    <text xml:space="preserve">Copie los criterios de evaluación definidos en la rúbrica del Resultado de Aprendizaje.
Cada fila debe corresponder a un criterio específico que será medido. 
</text>
  </threadedComment>
  <threadedComment ref="E13" dT="2026-05-29T18:17:53.63" personId="{43DD32BB-991B-4DE3-9E6C-751402C6970D}" id="{58E65522-978F-43EE-B1FF-46CC200A1764}">
    <text xml:space="preserve">Seleccione la actividad evaluativa aplicada al estudiante para medir el criterio. </text>
  </threadedComment>
  <threadedComment ref="F13" dT="2026-05-29T18:18:53.01" personId="{43DD32BB-991B-4DE3-9E6C-751402C6970D}" id="{77302B7E-8326-417C-BC33-0A62FC55CA98}">
    <text xml:space="preserve">Explique qué parte del instrumento se utiliza para evaluar el criterio, qué producto entrega el estudiante y cómo se evidencia el logro del aprendizaje. 
</text>
  </threadedComment>
  <threadedComment ref="B28" dT="2026-05-29T18:06:25.50" personId="{43DD32BB-991B-4DE3-9E6C-751402C6970D}" id="{35040623-C366-484D-953C-9E37679D9BC0}">
    <text>Se llena de forma automática</text>
  </threadedComment>
  <threadedComment ref="B128" dT="2026-05-29T17:45:34.82" personId="{43DD32BB-991B-4DE3-9E6C-751402C6970D}" id="{8357728B-9BE9-4B93-8810-F5F2C4E69A45}">
    <text xml:space="preserve">Identifique si la mejora corresponde al:
- Resultado de Aprendizaje del curso
- Resultado de Aprendizaje del programa
- Instrumento de medición utilizado. </text>
  </threadedComment>
  <threadedComment ref="D128" dT="2025-04-21T21:35:23.59" personId="{43DD32BB-991B-4DE3-9E6C-751402C6970D}" id="{98222BEB-B27A-40F0-803C-32F65D210995}">
    <text>Describa el aspecto específico que requiere mejorar o mantener. 
Recuerde que el factor debe estar relacionado con los criterios.</text>
  </threadedComment>
  <threadedComment ref="E128" dT="2025-04-21T21:34:48.26" personId="{43DD32BB-991B-4DE3-9E6C-751402C6970D}" id="{C9314B22-CAE8-4542-B09A-BFBD59BD40B2}">
    <text>Indique la acción concreta que se implementará para mejorar el factor identificado.</text>
  </threadedComment>
  <threadedComment ref="F128" dT="2025-04-21T21:34:59.13" personId="{43DD32BB-991B-4DE3-9E6C-751402C6970D}" id="{664CAA2B-2FDA-4630-8CA1-575B2603270A}">
    <text>¿Quién ejecutará la acción propuesta?</text>
  </threadedComment>
  <threadedComment ref="G128" dT="2025-04-21T21:35:13.08" personId="{43DD32BB-991B-4DE3-9E6C-751402C6970D}" id="{3CF78778-A201-4148-87CE-363095EDC3DA}">
    <text xml:space="preserve">¿Desde cuándo hasta cuándo se ejecutará la acción propuesta?
</text>
  </threadedComment>
  <threadedComment ref="H128" dT="2025-09-22T14:39:53.74" personId="{43DD32BB-991B-4DE3-9E6C-751402C6970D}" id="{784AE413-0105-4BD3-B064-C4AB77FE9956}">
    <text>Espacio de aclaraciones o novedades.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4A7F-653D-4009-A07A-0B536C82EEB5}">
  <sheetPr>
    <pageSetUpPr fitToPage="1"/>
  </sheetPr>
  <dimension ref="A1:XEW134"/>
  <sheetViews>
    <sheetView showGridLines="0" tabSelected="1" topLeftCell="A110" zoomScale="67" zoomScaleNormal="70" workbookViewId="0">
      <selection activeCell="C11" sqref="C11:H11"/>
    </sheetView>
  </sheetViews>
  <sheetFormatPr baseColWidth="10" defaultColWidth="0" defaultRowHeight="14.4" zeroHeight="1" x14ac:dyDescent="0.3"/>
  <cols>
    <col min="1" max="1" width="12.88671875" style="2" customWidth="1"/>
    <col min="2" max="2" width="31.44140625" style="2" customWidth="1"/>
    <col min="3" max="3" width="35.77734375" style="2" bestFit="1" customWidth="1"/>
    <col min="4" max="4" width="35.109375" style="2" customWidth="1"/>
    <col min="5" max="5" width="35.21875" style="2" customWidth="1"/>
    <col min="6" max="6" width="29.5546875" style="2" customWidth="1"/>
    <col min="7" max="7" width="34" style="2" bestFit="1" customWidth="1"/>
    <col min="8" max="8" width="30.44140625" style="2" bestFit="1" customWidth="1"/>
    <col min="9" max="9" width="11.5546875" style="2" customWidth="1"/>
    <col min="10" max="10" width="11.5546875" style="39" customWidth="1"/>
    <col min="11" max="15" width="11.5546875" style="2" customWidth="1"/>
    <col min="16" max="16384" width="11.5546875" style="34" hidden="1"/>
  </cols>
  <sheetData>
    <row r="1" spans="1:15 16377:16377" x14ac:dyDescent="0.3">
      <c r="A1" s="12" t="s">
        <v>26</v>
      </c>
    </row>
    <row r="2" spans="1:15 16377:16377" ht="51.6" customHeight="1" x14ac:dyDescent="0.3">
      <c r="A2" s="12" t="s">
        <v>25</v>
      </c>
      <c r="B2" s="10"/>
      <c r="C2" s="59" t="s">
        <v>115</v>
      </c>
      <c r="D2" s="60"/>
      <c r="E2" s="60"/>
      <c r="F2" s="60"/>
      <c r="G2" s="60"/>
      <c r="H2" s="61"/>
    </row>
    <row r="3" spans="1:15 16377:16377" ht="25.8" x14ac:dyDescent="0.3">
      <c r="A3" s="12" t="s">
        <v>27</v>
      </c>
      <c r="B3" s="10"/>
      <c r="C3" s="3" t="s">
        <v>34</v>
      </c>
      <c r="D3" s="63"/>
      <c r="E3" s="63"/>
      <c r="F3" s="63"/>
      <c r="G3" s="63"/>
      <c r="H3" s="64"/>
    </row>
    <row r="4" spans="1:15 16377:16377" ht="43.8" customHeight="1" x14ac:dyDescent="0.3">
      <c r="B4" s="11"/>
      <c r="C4" s="53" t="s">
        <v>112</v>
      </c>
      <c r="D4" s="65"/>
      <c r="E4" s="65"/>
      <c r="F4" s="65"/>
      <c r="G4" s="65"/>
      <c r="H4" s="65"/>
    </row>
    <row r="5" spans="1:15 16377:16377" s="35" customFormat="1" ht="31.8" customHeight="1" x14ac:dyDescent="0.45">
      <c r="A5" s="27"/>
      <c r="B5" s="43"/>
      <c r="C5" s="100" t="s">
        <v>35</v>
      </c>
      <c r="D5" s="100"/>
      <c r="E5" s="100"/>
      <c r="F5" s="100"/>
      <c r="G5" s="100"/>
      <c r="H5" s="100"/>
      <c r="I5" s="27"/>
      <c r="J5" s="40"/>
      <c r="K5" s="27"/>
      <c r="L5" s="27"/>
      <c r="M5" s="27"/>
      <c r="N5" s="27"/>
      <c r="O5" s="27"/>
    </row>
    <row r="6" spans="1:15 16377:16377" ht="38.1" customHeight="1" x14ac:dyDescent="0.3">
      <c r="B6" s="11"/>
      <c r="C6" s="21" t="s">
        <v>43</v>
      </c>
      <c r="D6" s="21" t="s">
        <v>17</v>
      </c>
      <c r="E6" s="21" t="s">
        <v>28</v>
      </c>
      <c r="F6" s="21" t="s">
        <v>0</v>
      </c>
      <c r="G6" s="21" t="s">
        <v>117</v>
      </c>
      <c r="H6" s="58"/>
    </row>
    <row r="7" spans="1:15 16377:16377" ht="10.5" customHeight="1" x14ac:dyDescent="0.3">
      <c r="A7" s="12" t="s">
        <v>23</v>
      </c>
      <c r="B7" s="99" t="s">
        <v>12</v>
      </c>
      <c r="C7" s="62"/>
      <c r="D7" s="62"/>
      <c r="E7" s="62"/>
      <c r="F7" s="66">
        <v>0.75</v>
      </c>
      <c r="G7" s="66"/>
      <c r="H7" s="58"/>
    </row>
    <row r="8" spans="1:15 16377:16377" ht="10.5" customHeight="1" x14ac:dyDescent="0.3">
      <c r="A8" s="12" t="s">
        <v>24</v>
      </c>
      <c r="B8" s="99"/>
      <c r="C8" s="62"/>
      <c r="D8" s="62"/>
      <c r="E8" s="62"/>
      <c r="F8" s="66"/>
      <c r="G8" s="66"/>
      <c r="H8" s="58"/>
    </row>
    <row r="9" spans="1:15 16377:16377" ht="10.5" customHeight="1" x14ac:dyDescent="0.3">
      <c r="A9" s="12" t="s">
        <v>44</v>
      </c>
      <c r="B9" s="99"/>
      <c r="C9" s="62"/>
      <c r="D9" s="62"/>
      <c r="E9" s="62"/>
      <c r="F9" s="66"/>
      <c r="G9" s="66"/>
      <c r="H9" s="58"/>
    </row>
    <row r="10" spans="1:15 16377:16377" ht="87.75" customHeight="1" x14ac:dyDescent="0.3">
      <c r="B10" s="99"/>
      <c r="C10" s="62"/>
      <c r="D10" s="62"/>
      <c r="E10" s="62"/>
      <c r="F10" s="66"/>
      <c r="G10" s="66"/>
      <c r="H10" s="58"/>
      <c r="XEW10" s="36" t="s">
        <v>50</v>
      </c>
    </row>
    <row r="11" spans="1:15 16377:16377" s="57" customFormat="1" ht="31.8" customHeight="1" x14ac:dyDescent="0.3">
      <c r="A11" s="54"/>
      <c r="B11" s="99"/>
      <c r="C11" s="101" t="s">
        <v>110</v>
      </c>
      <c r="D11" s="101"/>
      <c r="E11" s="101"/>
      <c r="F11" s="101"/>
      <c r="G11" s="101"/>
      <c r="H11" s="101"/>
      <c r="I11" s="54"/>
      <c r="J11" s="55"/>
      <c r="K11" s="54"/>
      <c r="L11" s="54"/>
      <c r="M11" s="54"/>
      <c r="N11" s="54"/>
      <c r="O11" s="54"/>
      <c r="XEW11" s="56" t="s">
        <v>77</v>
      </c>
    </row>
    <row r="12" spans="1:15 16377:16377" x14ac:dyDescent="0.3">
      <c r="B12" s="99"/>
      <c r="XEW12" s="36" t="s">
        <v>51</v>
      </c>
    </row>
    <row r="13" spans="1:15 16377:16377" ht="42" x14ac:dyDescent="0.3">
      <c r="B13" s="99"/>
      <c r="C13" s="95" t="s">
        <v>116</v>
      </c>
      <c r="D13" s="95"/>
      <c r="E13" s="24" t="s">
        <v>32</v>
      </c>
      <c r="F13" s="96" t="s">
        <v>31</v>
      </c>
      <c r="G13" s="97"/>
      <c r="H13" s="98"/>
      <c r="XEW13" s="36" t="s">
        <v>52</v>
      </c>
    </row>
    <row r="14" spans="1:15 16377:16377" s="37" customFormat="1" ht="51.75" customHeight="1" x14ac:dyDescent="0.3">
      <c r="A14" s="9"/>
      <c r="B14" s="99"/>
      <c r="C14" s="102" t="s">
        <v>46</v>
      </c>
      <c r="D14" s="103"/>
      <c r="E14" s="44"/>
      <c r="F14" s="104"/>
      <c r="G14" s="104"/>
      <c r="H14" s="104"/>
      <c r="I14" s="9"/>
      <c r="J14" s="41"/>
      <c r="K14" s="9"/>
      <c r="L14" s="9"/>
      <c r="M14" s="9"/>
      <c r="N14" s="9"/>
      <c r="O14" s="9"/>
      <c r="XEW14" s="36" t="s">
        <v>78</v>
      </c>
    </row>
    <row r="15" spans="1:15 16377:16377" s="37" customFormat="1" ht="36" customHeight="1" x14ac:dyDescent="0.3">
      <c r="A15" s="9"/>
      <c r="B15" s="99"/>
      <c r="C15" s="102" t="s">
        <v>47</v>
      </c>
      <c r="D15" s="103"/>
      <c r="E15" s="44"/>
      <c r="F15" s="104"/>
      <c r="G15" s="104"/>
      <c r="H15" s="104"/>
      <c r="I15" s="9"/>
      <c r="J15" s="41"/>
      <c r="K15" s="9"/>
      <c r="L15" s="9"/>
      <c r="M15" s="9"/>
      <c r="N15" s="9"/>
      <c r="O15" s="9"/>
      <c r="XEW15" s="36" t="s">
        <v>79</v>
      </c>
    </row>
    <row r="16" spans="1:15 16377:16377" s="37" customFormat="1" ht="32.25" customHeight="1" x14ac:dyDescent="0.3">
      <c r="A16" s="9"/>
      <c r="B16" s="99"/>
      <c r="C16" s="102" t="s">
        <v>48</v>
      </c>
      <c r="D16" s="103"/>
      <c r="E16" s="44"/>
      <c r="F16" s="104"/>
      <c r="G16" s="104"/>
      <c r="H16" s="104"/>
      <c r="I16" s="9"/>
      <c r="J16" s="41"/>
      <c r="K16" s="9"/>
      <c r="L16" s="9"/>
      <c r="M16" s="9"/>
      <c r="N16" s="9"/>
      <c r="O16" s="9"/>
      <c r="XEW16" s="36" t="s">
        <v>80</v>
      </c>
    </row>
    <row r="17" spans="1:15 16377:16377" s="37" customFormat="1" ht="20.399999999999999" customHeight="1" x14ac:dyDescent="0.3">
      <c r="A17" s="9"/>
      <c r="B17" s="99"/>
      <c r="C17" s="102" t="s">
        <v>49</v>
      </c>
      <c r="D17" s="103"/>
      <c r="E17" s="44"/>
      <c r="F17" s="105"/>
      <c r="G17" s="105"/>
      <c r="H17" s="105"/>
      <c r="I17" s="9"/>
      <c r="J17" s="41"/>
      <c r="K17" s="9"/>
      <c r="L17" s="9"/>
      <c r="M17" s="9"/>
      <c r="N17" s="9"/>
      <c r="O17" s="9"/>
      <c r="XEW17" s="36" t="s">
        <v>81</v>
      </c>
    </row>
    <row r="18" spans="1:15 16377:16377" ht="20.399999999999999" customHeight="1" x14ac:dyDescent="0.3">
      <c r="E18" s="8"/>
      <c r="F18" s="8"/>
      <c r="G18" s="8"/>
      <c r="H18" s="8"/>
      <c r="XEW18" s="36" t="s">
        <v>82</v>
      </c>
    </row>
    <row r="19" spans="1:15 16377:16377" x14ac:dyDescent="0.3">
      <c r="XEW19" s="36" t="s">
        <v>83</v>
      </c>
    </row>
    <row r="20" spans="1:15 16377:16377" ht="23.1" customHeight="1" x14ac:dyDescent="0.3">
      <c r="B20" s="4" t="s">
        <v>1</v>
      </c>
      <c r="C20" s="90" t="s">
        <v>30</v>
      </c>
      <c r="D20" s="90"/>
      <c r="E20" s="90"/>
      <c r="F20" s="90"/>
      <c r="G20" s="90"/>
      <c r="H20" s="91"/>
      <c r="I20" s="1"/>
      <c r="XEW20" s="36" t="s">
        <v>53</v>
      </c>
    </row>
    <row r="21" spans="1:15 16377:16377" ht="14.4" hidden="1" customHeight="1" x14ac:dyDescent="0.3">
      <c r="B21" s="87"/>
      <c r="C21" s="88"/>
      <c r="D21" s="89"/>
      <c r="E21" s="5">
        <f>$F$7</f>
        <v>0.75</v>
      </c>
      <c r="F21" s="5">
        <f>$F$7</f>
        <v>0.75</v>
      </c>
      <c r="G21" s="5">
        <f>$F$7</f>
        <v>0.75</v>
      </c>
      <c r="H21" s="5">
        <f>$F$7</f>
        <v>0.75</v>
      </c>
      <c r="XEW21" s="36" t="s">
        <v>54</v>
      </c>
    </row>
    <row r="22" spans="1:15 16377:16377" x14ac:dyDescent="0.3">
      <c r="XEW22" s="36" t="s">
        <v>84</v>
      </c>
    </row>
    <row r="23" spans="1:15 16377:16377" ht="14.4" hidden="1" customHeight="1" x14ac:dyDescent="0.4">
      <c r="C23" s="26"/>
      <c r="D23" s="26"/>
      <c r="E23" s="26"/>
      <c r="F23" s="26"/>
      <c r="G23" s="26"/>
      <c r="H23" s="26"/>
      <c r="XEW23" s="36" t="s">
        <v>85</v>
      </c>
    </row>
    <row r="24" spans="1:15 16377:16377" s="35" customFormat="1" ht="31.8" customHeight="1" x14ac:dyDescent="0.45">
      <c r="A24" s="27"/>
      <c r="B24" s="92" t="s">
        <v>36</v>
      </c>
      <c r="C24" s="93"/>
      <c r="D24" s="93"/>
      <c r="E24" s="93"/>
      <c r="F24" s="93"/>
      <c r="G24" s="93"/>
      <c r="H24" s="94"/>
      <c r="I24" s="27"/>
      <c r="J24" s="40"/>
      <c r="K24" s="27"/>
      <c r="L24" s="27"/>
      <c r="M24" s="27"/>
      <c r="N24" s="27"/>
      <c r="O24" s="27"/>
      <c r="XEW24" s="36" t="s">
        <v>55</v>
      </c>
    </row>
    <row r="25" spans="1:15 16377:16377" ht="21" x14ac:dyDescent="0.3">
      <c r="B25" s="69" t="s">
        <v>3</v>
      </c>
      <c r="C25" s="71" t="s">
        <v>2</v>
      </c>
      <c r="D25" s="72"/>
      <c r="E25" s="77" t="s">
        <v>5</v>
      </c>
      <c r="F25" s="78"/>
      <c r="G25" s="78"/>
      <c r="H25" s="79"/>
      <c r="XEW25" s="36" t="s">
        <v>86</v>
      </c>
    </row>
    <row r="26" spans="1:15 16377:16377" ht="89.25" customHeight="1" x14ac:dyDescent="0.3">
      <c r="B26" s="70"/>
      <c r="C26" s="73"/>
      <c r="D26" s="74"/>
      <c r="E26" s="33" t="str">
        <f>+IF(C14="","",C14)</f>
        <v>Describa criterio 1</v>
      </c>
      <c r="F26" s="33" t="str">
        <f>+IF(C15="","",C15)</f>
        <v>Describa criterio 2</v>
      </c>
      <c r="G26" s="33" t="str">
        <f>+IF(C16="","",C16)</f>
        <v>Describa criterio 3</v>
      </c>
      <c r="H26" s="33" t="str">
        <f>+IF(C17="","",C17)</f>
        <v>Describa criterio 4</v>
      </c>
      <c r="XEW26" s="36" t="s">
        <v>56</v>
      </c>
    </row>
    <row r="27" spans="1:15 16377:16377" ht="33.6" customHeight="1" x14ac:dyDescent="0.3">
      <c r="B27" s="30" t="s">
        <v>1</v>
      </c>
      <c r="C27" s="75" t="s">
        <v>45</v>
      </c>
      <c r="D27" s="75"/>
      <c r="E27" s="75"/>
      <c r="F27" s="75"/>
      <c r="G27" s="75"/>
      <c r="H27" s="76"/>
      <c r="XEW27" s="36" t="s">
        <v>57</v>
      </c>
    </row>
    <row r="28" spans="1:15 16377:16377" s="52" customFormat="1" ht="18" x14ac:dyDescent="0.35">
      <c r="A28" s="48"/>
      <c r="B28" s="49">
        <f>IF(C28&lt;&gt;"",COUNTA($C$28:C28),"")</f>
        <v>1</v>
      </c>
      <c r="C28" s="67" t="s">
        <v>118</v>
      </c>
      <c r="D28" s="68"/>
      <c r="E28" s="45" t="s">
        <v>119</v>
      </c>
      <c r="F28" s="45" t="s">
        <v>119</v>
      </c>
      <c r="G28" s="45" t="s">
        <v>121</v>
      </c>
      <c r="H28" s="45"/>
      <c r="I28" s="48"/>
      <c r="J28" s="50"/>
      <c r="K28" s="48"/>
      <c r="L28" s="48"/>
      <c r="M28" s="48"/>
      <c r="N28" s="48"/>
      <c r="O28" s="48"/>
      <c r="XEW28" s="51" t="s">
        <v>58</v>
      </c>
    </row>
    <row r="29" spans="1:15 16377:16377" s="52" customFormat="1" ht="18" x14ac:dyDescent="0.35">
      <c r="A29" s="48"/>
      <c r="B29" s="49">
        <f>IF(C29&lt;&gt;"",COUNTA($C$28:C29),"")</f>
        <v>2</v>
      </c>
      <c r="C29" s="67" t="s">
        <v>118</v>
      </c>
      <c r="D29" s="68"/>
      <c r="E29" s="45" t="s">
        <v>120</v>
      </c>
      <c r="F29" s="45" t="s">
        <v>121</v>
      </c>
      <c r="G29" s="45" t="s">
        <v>121</v>
      </c>
      <c r="H29" s="45"/>
      <c r="I29" s="48"/>
      <c r="J29" s="50"/>
      <c r="K29" s="48"/>
      <c r="L29" s="48"/>
      <c r="M29" s="48"/>
      <c r="N29" s="48"/>
      <c r="O29" s="48"/>
      <c r="XEW29" s="51" t="s">
        <v>87</v>
      </c>
    </row>
    <row r="30" spans="1:15 16377:16377" s="52" customFormat="1" ht="18" x14ac:dyDescent="0.35">
      <c r="A30" s="48"/>
      <c r="B30" s="49">
        <f>IF(C30&lt;&gt;"",COUNTA($C$28:C30),"")</f>
        <v>3</v>
      </c>
      <c r="C30" s="67" t="s">
        <v>118</v>
      </c>
      <c r="D30" s="68"/>
      <c r="E30" s="45" t="s">
        <v>121</v>
      </c>
      <c r="F30" s="45" t="s">
        <v>121</v>
      </c>
      <c r="G30" s="45" t="s">
        <v>121</v>
      </c>
      <c r="H30" s="45"/>
      <c r="I30" s="48"/>
      <c r="J30" s="50"/>
      <c r="K30" s="48"/>
      <c r="L30" s="48"/>
      <c r="M30" s="48"/>
      <c r="N30" s="48"/>
      <c r="O30" s="48"/>
      <c r="XEW30" s="51" t="s">
        <v>88</v>
      </c>
    </row>
    <row r="31" spans="1:15 16377:16377" s="52" customFormat="1" ht="18" x14ac:dyDescent="0.35">
      <c r="A31" s="48"/>
      <c r="B31" s="49">
        <f>IF(C31&lt;&gt;"",COUNTA($C$28:C31),"")</f>
        <v>4</v>
      </c>
      <c r="C31" s="67" t="s">
        <v>118</v>
      </c>
      <c r="D31" s="68"/>
      <c r="E31" s="45" t="s">
        <v>121</v>
      </c>
      <c r="F31" s="45" t="s">
        <v>121</v>
      </c>
      <c r="G31" s="45" t="s">
        <v>121</v>
      </c>
      <c r="H31" s="45"/>
      <c r="I31" s="48"/>
      <c r="J31" s="50"/>
      <c r="K31" s="48"/>
      <c r="L31" s="48"/>
      <c r="M31" s="48"/>
      <c r="N31" s="48"/>
      <c r="O31" s="48"/>
      <c r="XEW31" s="51" t="s">
        <v>89</v>
      </c>
    </row>
    <row r="32" spans="1:15 16377:16377" s="52" customFormat="1" ht="18" x14ac:dyDescent="0.35">
      <c r="A32" s="48"/>
      <c r="B32" s="49">
        <f>IF(C32&lt;&gt;"",COUNTA($C$28:C32),"")</f>
        <v>5</v>
      </c>
      <c r="C32" s="67" t="s">
        <v>118</v>
      </c>
      <c r="D32" s="68"/>
      <c r="E32" s="45" t="s">
        <v>122</v>
      </c>
      <c r="F32" s="45" t="s">
        <v>121</v>
      </c>
      <c r="G32" s="45" t="s">
        <v>121</v>
      </c>
      <c r="H32" s="45"/>
      <c r="I32" s="48"/>
      <c r="J32" s="50"/>
      <c r="K32" s="48"/>
      <c r="L32" s="48"/>
      <c r="M32" s="48"/>
      <c r="N32" s="48"/>
      <c r="O32" s="48"/>
      <c r="XEW32" s="51" t="s">
        <v>90</v>
      </c>
    </row>
    <row r="33" spans="1:15 16377:16377" s="52" customFormat="1" ht="18" x14ac:dyDescent="0.35">
      <c r="A33" s="48"/>
      <c r="B33" s="49">
        <f>IF(C33&lt;&gt;"",COUNTA($C$28:C33),"")</f>
        <v>6</v>
      </c>
      <c r="C33" s="67" t="s">
        <v>118</v>
      </c>
      <c r="D33" s="68"/>
      <c r="E33" s="45" t="s">
        <v>122</v>
      </c>
      <c r="F33" s="45" t="s">
        <v>121</v>
      </c>
      <c r="G33" s="45" t="s">
        <v>121</v>
      </c>
      <c r="H33" s="45"/>
      <c r="I33" s="48"/>
      <c r="J33" s="50"/>
      <c r="K33" s="48"/>
      <c r="L33" s="48"/>
      <c r="M33" s="48"/>
      <c r="N33" s="48"/>
      <c r="O33" s="48"/>
      <c r="XEW33" s="51" t="s">
        <v>59</v>
      </c>
    </row>
    <row r="34" spans="1:15 16377:16377" s="52" customFormat="1" ht="18" x14ac:dyDescent="0.35">
      <c r="A34" s="48"/>
      <c r="B34" s="49">
        <f>IF(C34&lt;&gt;"",COUNTA($C$28:C34),"")</f>
        <v>7</v>
      </c>
      <c r="C34" s="67" t="s">
        <v>118</v>
      </c>
      <c r="D34" s="68"/>
      <c r="E34" s="45" t="s">
        <v>122</v>
      </c>
      <c r="F34" s="45" t="s">
        <v>121</v>
      </c>
      <c r="G34" s="45" t="s">
        <v>121</v>
      </c>
      <c r="H34" s="45"/>
      <c r="I34" s="48"/>
      <c r="J34" s="50"/>
      <c r="K34" s="48"/>
      <c r="L34" s="48"/>
      <c r="M34" s="48"/>
      <c r="N34" s="48"/>
      <c r="O34" s="48"/>
      <c r="XEW34" s="51" t="s">
        <v>91</v>
      </c>
    </row>
    <row r="35" spans="1:15 16377:16377" s="52" customFormat="1" ht="18" x14ac:dyDescent="0.35">
      <c r="A35" s="48"/>
      <c r="B35" s="49">
        <f>IF(C35&lt;&gt;"",COUNTA($C$28:C35),"")</f>
        <v>8</v>
      </c>
      <c r="C35" s="67" t="s">
        <v>118</v>
      </c>
      <c r="D35" s="68"/>
      <c r="E35" s="45" t="s">
        <v>122</v>
      </c>
      <c r="F35" s="45" t="s">
        <v>121</v>
      </c>
      <c r="G35" s="45" t="s">
        <v>121</v>
      </c>
      <c r="H35" s="45"/>
      <c r="I35" s="48"/>
      <c r="J35" s="50"/>
      <c r="K35" s="48"/>
      <c r="L35" s="48"/>
      <c r="M35" s="48"/>
      <c r="N35" s="48"/>
      <c r="O35" s="48"/>
      <c r="XEW35" s="51" t="s">
        <v>92</v>
      </c>
    </row>
    <row r="36" spans="1:15 16377:16377" s="52" customFormat="1" ht="18" x14ac:dyDescent="0.35">
      <c r="A36" s="48"/>
      <c r="B36" s="49">
        <f>IF(C36&lt;&gt;"",COUNTA($C$28:C36),"")</f>
        <v>9</v>
      </c>
      <c r="C36" s="67" t="s">
        <v>118</v>
      </c>
      <c r="D36" s="68"/>
      <c r="E36" s="45" t="s">
        <v>122</v>
      </c>
      <c r="F36" s="45" t="s">
        <v>121</v>
      </c>
      <c r="G36" s="45" t="s">
        <v>121</v>
      </c>
      <c r="H36" s="45"/>
      <c r="I36" s="48"/>
      <c r="J36" s="50"/>
      <c r="K36" s="48"/>
      <c r="L36" s="48"/>
      <c r="M36" s="48"/>
      <c r="N36" s="48"/>
      <c r="O36" s="48"/>
      <c r="XEW36" s="51" t="s">
        <v>60</v>
      </c>
    </row>
    <row r="37" spans="1:15 16377:16377" s="52" customFormat="1" ht="18" x14ac:dyDescent="0.35">
      <c r="A37" s="48"/>
      <c r="B37" s="49">
        <f>IF(C37&lt;&gt;"",COUNTA($C$28:C37),"")</f>
        <v>10</v>
      </c>
      <c r="C37" s="67" t="s">
        <v>118</v>
      </c>
      <c r="D37" s="68"/>
      <c r="E37" s="45" t="s">
        <v>121</v>
      </c>
      <c r="F37" s="45" t="s">
        <v>121</v>
      </c>
      <c r="G37" s="45" t="s">
        <v>121</v>
      </c>
      <c r="H37" s="45"/>
      <c r="I37" s="48"/>
      <c r="J37" s="50"/>
      <c r="K37" s="48"/>
      <c r="L37" s="48"/>
      <c r="M37" s="48"/>
      <c r="N37" s="48"/>
      <c r="O37" s="48"/>
      <c r="XEW37" s="52" t="s">
        <v>93</v>
      </c>
    </row>
    <row r="38" spans="1:15 16377:16377" s="52" customFormat="1" ht="18" x14ac:dyDescent="0.35">
      <c r="A38" s="48"/>
      <c r="B38" s="49">
        <f>IF(C38&lt;&gt;"",COUNTA($C$28:C38),"")</f>
        <v>11</v>
      </c>
      <c r="C38" s="67" t="s">
        <v>118</v>
      </c>
      <c r="D38" s="68"/>
      <c r="E38" s="45" t="s">
        <v>122</v>
      </c>
      <c r="F38" s="45" t="s">
        <v>122</v>
      </c>
      <c r="G38" s="45" t="s">
        <v>121</v>
      </c>
      <c r="H38" s="45"/>
      <c r="I38" s="48"/>
      <c r="J38" s="50"/>
      <c r="K38" s="48"/>
      <c r="L38" s="48"/>
      <c r="M38" s="48"/>
      <c r="N38" s="48"/>
      <c r="O38" s="48"/>
      <c r="XEW38" s="52" t="s">
        <v>94</v>
      </c>
    </row>
    <row r="39" spans="1:15 16377:16377" s="52" customFormat="1" ht="18" x14ac:dyDescent="0.35">
      <c r="A39" s="48"/>
      <c r="B39" s="49">
        <f>IF(C39&lt;&gt;"",COUNTA($C$28:C39),"")</f>
        <v>12</v>
      </c>
      <c r="C39" s="67" t="s">
        <v>118</v>
      </c>
      <c r="D39" s="68"/>
      <c r="E39" s="45" t="s">
        <v>121</v>
      </c>
      <c r="F39" s="45" t="s">
        <v>122</v>
      </c>
      <c r="G39" s="45" t="s">
        <v>121</v>
      </c>
      <c r="H39" s="45"/>
      <c r="I39" s="48"/>
      <c r="J39" s="50"/>
      <c r="K39" s="48"/>
      <c r="L39" s="48"/>
      <c r="M39" s="48"/>
      <c r="N39" s="48"/>
      <c r="O39" s="48"/>
      <c r="XEW39" s="52" t="s">
        <v>95</v>
      </c>
    </row>
    <row r="40" spans="1:15 16377:16377" s="52" customFormat="1" ht="18" x14ac:dyDescent="0.35">
      <c r="A40" s="48"/>
      <c r="B40" s="49">
        <f>IF(C40&lt;&gt;"",COUNTA($C$28:C40),"")</f>
        <v>13</v>
      </c>
      <c r="C40" s="67" t="s">
        <v>118</v>
      </c>
      <c r="D40" s="68"/>
      <c r="E40" s="45" t="s">
        <v>121</v>
      </c>
      <c r="F40" s="45" t="s">
        <v>122</v>
      </c>
      <c r="G40" s="45" t="s">
        <v>121</v>
      </c>
      <c r="H40" s="45"/>
      <c r="I40" s="48"/>
      <c r="J40" s="50"/>
      <c r="K40" s="48"/>
      <c r="L40" s="48"/>
      <c r="M40" s="48"/>
      <c r="N40" s="48"/>
      <c r="O40" s="48"/>
      <c r="XEW40" s="52" t="s">
        <v>96</v>
      </c>
    </row>
    <row r="41" spans="1:15 16377:16377" s="52" customFormat="1" ht="18" x14ac:dyDescent="0.35">
      <c r="A41" s="48"/>
      <c r="B41" s="49">
        <f>IF(C41&lt;&gt;"",COUNTA($C$28:C41),"")</f>
        <v>14</v>
      </c>
      <c r="C41" s="67" t="s">
        <v>118</v>
      </c>
      <c r="D41" s="68"/>
      <c r="E41" s="45" t="s">
        <v>121</v>
      </c>
      <c r="F41" s="45" t="s">
        <v>119</v>
      </c>
      <c r="G41" s="45" t="s">
        <v>121</v>
      </c>
      <c r="H41" s="45"/>
      <c r="I41" s="48"/>
      <c r="J41" s="50"/>
      <c r="K41" s="48"/>
      <c r="L41" s="48"/>
      <c r="M41" s="48"/>
      <c r="N41" s="48"/>
      <c r="O41" s="48"/>
      <c r="XEW41" s="52" t="s">
        <v>97</v>
      </c>
    </row>
    <row r="42" spans="1:15 16377:16377" s="52" customFormat="1" ht="18" x14ac:dyDescent="0.35">
      <c r="A42" s="48"/>
      <c r="B42" s="49">
        <f>IF(C42&lt;&gt;"",COUNTA($C$28:C42),"")</f>
        <v>15</v>
      </c>
      <c r="C42" s="67" t="s">
        <v>118</v>
      </c>
      <c r="D42" s="68"/>
      <c r="E42" s="45" t="s">
        <v>121</v>
      </c>
      <c r="F42" s="45" t="s">
        <v>119</v>
      </c>
      <c r="G42" s="45" t="s">
        <v>121</v>
      </c>
      <c r="H42" s="45"/>
      <c r="I42" s="48"/>
      <c r="J42" s="50"/>
      <c r="K42" s="48"/>
      <c r="L42" s="48"/>
      <c r="M42" s="48"/>
      <c r="N42" s="48"/>
      <c r="O42" s="48"/>
      <c r="XEW42" s="52" t="s">
        <v>61</v>
      </c>
    </row>
    <row r="43" spans="1:15 16377:16377" s="52" customFormat="1" ht="18" x14ac:dyDescent="0.35">
      <c r="A43" s="48"/>
      <c r="B43" s="49" t="str">
        <f>IF(C43&lt;&gt;"",COUNTA($C$28:C43),"")</f>
        <v/>
      </c>
      <c r="C43" s="67"/>
      <c r="D43" s="68"/>
      <c r="E43" s="45"/>
      <c r="F43" s="45"/>
      <c r="G43" s="45"/>
      <c r="H43" s="45"/>
      <c r="I43" s="48"/>
      <c r="J43" s="50"/>
      <c r="K43" s="48"/>
      <c r="L43" s="48"/>
      <c r="M43" s="48"/>
      <c r="N43" s="48"/>
      <c r="O43" s="48"/>
      <c r="XEW43" s="52" t="s">
        <v>98</v>
      </c>
    </row>
    <row r="44" spans="1:15 16377:16377" s="52" customFormat="1" ht="18" x14ac:dyDescent="0.35">
      <c r="A44" s="48"/>
      <c r="B44" s="49" t="str">
        <f>IF(C44&lt;&gt;"",COUNTA($C$28:C44),"")</f>
        <v/>
      </c>
      <c r="C44" s="67"/>
      <c r="D44" s="68"/>
      <c r="E44" s="45"/>
      <c r="F44" s="45"/>
      <c r="G44" s="45"/>
      <c r="H44" s="45"/>
      <c r="I44" s="48"/>
      <c r="J44" s="50"/>
      <c r="K44" s="48"/>
      <c r="L44" s="48"/>
      <c r="M44" s="48"/>
      <c r="N44" s="48"/>
      <c r="O44" s="48"/>
      <c r="XEW44" s="52" t="s">
        <v>99</v>
      </c>
    </row>
    <row r="45" spans="1:15 16377:16377" s="52" customFormat="1" ht="18" x14ac:dyDescent="0.35">
      <c r="A45" s="48"/>
      <c r="B45" s="49" t="str">
        <f>IF(C45&lt;&gt;"",COUNTA($C$28:C45),"")</f>
        <v/>
      </c>
      <c r="C45" s="67"/>
      <c r="D45" s="68"/>
      <c r="E45" s="45"/>
      <c r="F45" s="45"/>
      <c r="G45" s="45"/>
      <c r="H45" s="45"/>
      <c r="I45" s="48"/>
      <c r="J45" s="50"/>
      <c r="K45" s="48"/>
      <c r="L45" s="48"/>
      <c r="M45" s="48"/>
      <c r="N45" s="48"/>
      <c r="O45" s="48"/>
      <c r="XEW45" s="52" t="s">
        <v>62</v>
      </c>
    </row>
    <row r="46" spans="1:15 16377:16377" s="52" customFormat="1" ht="18" x14ac:dyDescent="0.35">
      <c r="A46" s="48"/>
      <c r="B46" s="49" t="str">
        <f>IF(C46&lt;&gt;"",COUNTA($C$28:C46),"")</f>
        <v/>
      </c>
      <c r="C46" s="67"/>
      <c r="D46" s="68"/>
      <c r="E46" s="45"/>
      <c r="F46" s="45"/>
      <c r="G46" s="45"/>
      <c r="H46" s="45"/>
      <c r="I46" s="48"/>
      <c r="J46" s="50"/>
      <c r="K46" s="48"/>
      <c r="L46" s="48"/>
      <c r="M46" s="48"/>
      <c r="N46" s="48"/>
      <c r="O46" s="48"/>
      <c r="XEW46" s="52" t="s">
        <v>63</v>
      </c>
    </row>
    <row r="47" spans="1:15 16377:16377" s="52" customFormat="1" ht="18" x14ac:dyDescent="0.35">
      <c r="A47" s="48"/>
      <c r="B47" s="49" t="str">
        <f>IF(C47&lt;&gt;"",COUNTA($C$28:C47),"")</f>
        <v/>
      </c>
      <c r="C47" s="67"/>
      <c r="D47" s="68"/>
      <c r="E47" s="45"/>
      <c r="F47" s="45"/>
      <c r="G47" s="45"/>
      <c r="H47" s="45"/>
      <c r="I47" s="48"/>
      <c r="J47" s="50"/>
      <c r="K47" s="48"/>
      <c r="L47" s="48"/>
      <c r="M47" s="48"/>
      <c r="N47" s="48"/>
      <c r="O47" s="48"/>
      <c r="XEW47" s="52" t="s">
        <v>64</v>
      </c>
    </row>
    <row r="48" spans="1:15 16377:16377" s="52" customFormat="1" ht="18" x14ac:dyDescent="0.35">
      <c r="A48" s="48"/>
      <c r="B48" s="49" t="str">
        <f>IF(C48&lt;&gt;"",COUNTA($C$28:C48),"")</f>
        <v/>
      </c>
      <c r="C48" s="67"/>
      <c r="D48" s="68"/>
      <c r="E48" s="45"/>
      <c r="F48" s="45"/>
      <c r="G48" s="45"/>
      <c r="H48" s="45"/>
      <c r="I48" s="48"/>
      <c r="J48" s="50"/>
      <c r="K48" s="48"/>
      <c r="L48" s="48"/>
      <c r="M48" s="48"/>
      <c r="N48" s="48"/>
      <c r="O48" s="48"/>
      <c r="XEW48" s="52" t="s">
        <v>65</v>
      </c>
    </row>
    <row r="49" spans="1:15 16377:16377" s="52" customFormat="1" ht="18" x14ac:dyDescent="0.35">
      <c r="A49" s="48"/>
      <c r="B49" s="49" t="str">
        <f>IF(C49&lt;&gt;"",COUNTA($C$28:C49),"")</f>
        <v/>
      </c>
      <c r="C49" s="67"/>
      <c r="D49" s="68"/>
      <c r="E49" s="45"/>
      <c r="F49" s="45"/>
      <c r="G49" s="45"/>
      <c r="H49" s="45"/>
      <c r="I49" s="48"/>
      <c r="J49" s="50"/>
      <c r="K49" s="48"/>
      <c r="L49" s="48"/>
      <c r="M49" s="48"/>
      <c r="N49" s="48"/>
      <c r="O49" s="48"/>
      <c r="XEW49" s="52" t="s">
        <v>66</v>
      </c>
    </row>
    <row r="50" spans="1:15 16377:16377" s="52" customFormat="1" ht="18" x14ac:dyDescent="0.35">
      <c r="A50" s="48"/>
      <c r="B50" s="49" t="str">
        <f>IF(C50&lt;&gt;"",COUNTA($C$28:C50),"")</f>
        <v/>
      </c>
      <c r="C50" s="67"/>
      <c r="D50" s="68"/>
      <c r="E50" s="45"/>
      <c r="F50" s="45"/>
      <c r="G50" s="45"/>
      <c r="H50" s="45"/>
      <c r="I50" s="48"/>
      <c r="J50" s="50"/>
      <c r="K50" s="48"/>
      <c r="L50" s="48"/>
      <c r="M50" s="48"/>
      <c r="N50" s="48"/>
      <c r="O50" s="48"/>
      <c r="XEW50" s="52" t="s">
        <v>100</v>
      </c>
    </row>
    <row r="51" spans="1:15 16377:16377" s="52" customFormat="1" ht="18" x14ac:dyDescent="0.35">
      <c r="A51" s="48"/>
      <c r="B51" s="49" t="str">
        <f>IF(C51&lt;&gt;"",COUNTA($C$28:C51),"")</f>
        <v/>
      </c>
      <c r="C51" s="67"/>
      <c r="D51" s="68"/>
      <c r="E51" s="45"/>
      <c r="F51" s="45"/>
      <c r="G51" s="45"/>
      <c r="H51" s="45"/>
      <c r="I51" s="48"/>
      <c r="J51" s="50"/>
      <c r="K51" s="48"/>
      <c r="L51" s="48"/>
      <c r="M51" s="48"/>
      <c r="N51" s="48"/>
      <c r="O51" s="48"/>
      <c r="XEW51" s="52" t="s">
        <v>67</v>
      </c>
    </row>
    <row r="52" spans="1:15 16377:16377" s="52" customFormat="1" ht="18" x14ac:dyDescent="0.35">
      <c r="A52" s="48"/>
      <c r="B52" s="49" t="str">
        <f>IF(C52&lt;&gt;"",COUNTA($C$28:C52),"")</f>
        <v/>
      </c>
      <c r="C52" s="67"/>
      <c r="D52" s="68"/>
      <c r="E52" s="45"/>
      <c r="F52" s="45"/>
      <c r="G52" s="45"/>
      <c r="H52" s="45"/>
      <c r="I52" s="48"/>
      <c r="J52" s="50"/>
      <c r="K52" s="48"/>
      <c r="L52" s="48"/>
      <c r="M52" s="48"/>
      <c r="N52" s="48"/>
      <c r="O52" s="48"/>
      <c r="XEW52" s="52" t="s">
        <v>68</v>
      </c>
    </row>
    <row r="53" spans="1:15 16377:16377" s="52" customFormat="1" ht="18" x14ac:dyDescent="0.35">
      <c r="A53" s="48"/>
      <c r="B53" s="49" t="str">
        <f>IF(C53&lt;&gt;"",COUNTA($C$28:C53),"")</f>
        <v/>
      </c>
      <c r="C53" s="67"/>
      <c r="D53" s="68"/>
      <c r="E53" s="45"/>
      <c r="F53" s="45"/>
      <c r="G53" s="45"/>
      <c r="H53" s="45"/>
      <c r="I53" s="48"/>
      <c r="J53" s="50"/>
      <c r="K53" s="48"/>
      <c r="L53" s="48"/>
      <c r="M53" s="48"/>
      <c r="N53" s="48"/>
      <c r="O53" s="48"/>
      <c r="XEW53" s="52" t="s">
        <v>101</v>
      </c>
    </row>
    <row r="54" spans="1:15 16377:16377" s="52" customFormat="1" ht="18" x14ac:dyDescent="0.35">
      <c r="A54" s="48"/>
      <c r="B54" s="49" t="str">
        <f>IF(C54&lt;&gt;"",COUNTA($C$28:C54),"")</f>
        <v/>
      </c>
      <c r="C54" s="67"/>
      <c r="D54" s="68"/>
      <c r="E54" s="45"/>
      <c r="F54" s="45"/>
      <c r="G54" s="45"/>
      <c r="H54" s="45"/>
      <c r="I54" s="48"/>
      <c r="J54" s="50"/>
      <c r="K54" s="48"/>
      <c r="L54" s="48"/>
      <c r="M54" s="48"/>
      <c r="N54" s="48"/>
      <c r="O54" s="48"/>
      <c r="XEW54" s="52" t="s">
        <v>102</v>
      </c>
    </row>
    <row r="55" spans="1:15 16377:16377" s="52" customFormat="1" ht="18" x14ac:dyDescent="0.35">
      <c r="A55" s="48"/>
      <c r="B55" s="49" t="str">
        <f>IF(C55&lt;&gt;"",COUNTA($C$28:C55),"")</f>
        <v/>
      </c>
      <c r="C55" s="67"/>
      <c r="D55" s="68"/>
      <c r="E55" s="45"/>
      <c r="F55" s="45"/>
      <c r="G55" s="45"/>
      <c r="H55" s="45"/>
      <c r="I55" s="48"/>
      <c r="J55" s="50"/>
      <c r="K55" s="48"/>
      <c r="L55" s="48"/>
      <c r="M55" s="48"/>
      <c r="N55" s="48"/>
      <c r="O55" s="48"/>
      <c r="XEW55" s="52" t="s">
        <v>103</v>
      </c>
    </row>
    <row r="56" spans="1:15 16377:16377" s="52" customFormat="1" ht="18" x14ac:dyDescent="0.35">
      <c r="A56" s="48"/>
      <c r="B56" s="49" t="str">
        <f>IF(C56&lt;&gt;"",COUNTA($C$28:C56),"")</f>
        <v/>
      </c>
      <c r="C56" s="67"/>
      <c r="D56" s="68"/>
      <c r="E56" s="45"/>
      <c r="F56" s="45"/>
      <c r="G56" s="45"/>
      <c r="H56" s="45"/>
      <c r="I56" s="48"/>
      <c r="J56" s="50"/>
      <c r="K56" s="48"/>
      <c r="L56" s="48"/>
      <c r="M56" s="48"/>
      <c r="N56" s="48"/>
      <c r="O56" s="48"/>
      <c r="XEW56" s="52" t="s">
        <v>69</v>
      </c>
    </row>
    <row r="57" spans="1:15 16377:16377" s="52" customFormat="1" ht="18" x14ac:dyDescent="0.35">
      <c r="A57" s="48"/>
      <c r="B57" s="49" t="str">
        <f>IF(C57&lt;&gt;"",COUNTA($C$28:C57),"")</f>
        <v/>
      </c>
      <c r="C57" s="67"/>
      <c r="D57" s="68"/>
      <c r="E57" s="45"/>
      <c r="F57" s="45"/>
      <c r="G57" s="45"/>
      <c r="H57" s="45"/>
      <c r="I57" s="48"/>
      <c r="J57" s="50"/>
      <c r="K57" s="48"/>
      <c r="L57" s="48"/>
      <c r="M57" s="48"/>
      <c r="N57" s="48"/>
      <c r="O57" s="48"/>
      <c r="XEW57" s="52" t="s">
        <v>104</v>
      </c>
    </row>
    <row r="58" spans="1:15 16377:16377" s="52" customFormat="1" ht="18" x14ac:dyDescent="0.35">
      <c r="A58" s="48"/>
      <c r="B58" s="49" t="str">
        <f>IF(C58&lt;&gt;"",COUNTA($C$28:C58),"")</f>
        <v/>
      </c>
      <c r="C58" s="67"/>
      <c r="D58" s="68"/>
      <c r="E58" s="45"/>
      <c r="F58" s="45"/>
      <c r="G58" s="45"/>
      <c r="H58" s="45"/>
      <c r="I58" s="48"/>
      <c r="J58" s="50"/>
      <c r="K58" s="48"/>
      <c r="L58" s="48"/>
      <c r="M58" s="48"/>
      <c r="N58" s="48"/>
      <c r="O58" s="48"/>
      <c r="XEW58" s="52" t="s">
        <v>70</v>
      </c>
    </row>
    <row r="59" spans="1:15 16377:16377" s="52" customFormat="1" ht="18" x14ac:dyDescent="0.35">
      <c r="A59" s="48"/>
      <c r="B59" s="49" t="str">
        <f>IF(C59&lt;&gt;"",COUNTA($C$28:C59),"")</f>
        <v/>
      </c>
      <c r="C59" s="67"/>
      <c r="D59" s="68"/>
      <c r="E59" s="45"/>
      <c r="F59" s="45"/>
      <c r="G59" s="45"/>
      <c r="H59" s="45"/>
      <c r="I59" s="48"/>
      <c r="J59" s="50"/>
      <c r="K59" s="48"/>
      <c r="L59" s="48"/>
      <c r="M59" s="48"/>
      <c r="N59" s="48"/>
      <c r="O59" s="48"/>
      <c r="XEW59" s="52" t="s">
        <v>71</v>
      </c>
    </row>
    <row r="60" spans="1:15 16377:16377" s="52" customFormat="1" ht="18" x14ac:dyDescent="0.35">
      <c r="A60" s="48"/>
      <c r="B60" s="49" t="str">
        <f>IF(C60&lt;&gt;"",COUNTA($C$28:C60),"")</f>
        <v/>
      </c>
      <c r="C60" s="67"/>
      <c r="D60" s="68"/>
      <c r="E60" s="45"/>
      <c r="F60" s="45"/>
      <c r="G60" s="45"/>
      <c r="H60" s="45"/>
      <c r="I60" s="48"/>
      <c r="J60" s="50"/>
      <c r="K60" s="48"/>
      <c r="L60" s="48"/>
      <c r="M60" s="48"/>
      <c r="N60" s="48"/>
      <c r="O60" s="48"/>
      <c r="XEW60" s="52" t="s">
        <v>72</v>
      </c>
    </row>
    <row r="61" spans="1:15 16377:16377" s="52" customFormat="1" ht="18" x14ac:dyDescent="0.35">
      <c r="A61" s="48"/>
      <c r="B61" s="49" t="str">
        <f>IF(C61&lt;&gt;"",COUNTA($C$28:C61),"")</f>
        <v/>
      </c>
      <c r="C61" s="67"/>
      <c r="D61" s="68"/>
      <c r="E61" s="45"/>
      <c r="F61" s="45"/>
      <c r="G61" s="45"/>
      <c r="H61" s="45"/>
      <c r="I61" s="48"/>
      <c r="J61" s="50"/>
      <c r="K61" s="48"/>
      <c r="L61" s="48"/>
      <c r="M61" s="48"/>
      <c r="N61" s="48"/>
      <c r="O61" s="48"/>
      <c r="XEW61" s="52" t="s">
        <v>73</v>
      </c>
    </row>
    <row r="62" spans="1:15 16377:16377" s="52" customFormat="1" ht="18" x14ac:dyDescent="0.35">
      <c r="A62" s="48"/>
      <c r="B62" s="49" t="str">
        <f>IF(C62&lt;&gt;"",COUNTA($C$28:C62),"")</f>
        <v/>
      </c>
      <c r="C62" s="67"/>
      <c r="D62" s="68"/>
      <c r="E62" s="45"/>
      <c r="F62" s="45"/>
      <c r="G62" s="45"/>
      <c r="H62" s="45"/>
      <c r="I62" s="48"/>
      <c r="J62" s="50"/>
      <c r="K62" s="48"/>
      <c r="L62" s="48"/>
      <c r="M62" s="48"/>
      <c r="N62" s="48"/>
      <c r="O62" s="48"/>
      <c r="XEW62" s="52" t="s">
        <v>105</v>
      </c>
    </row>
    <row r="63" spans="1:15 16377:16377" s="52" customFormat="1" ht="18" x14ac:dyDescent="0.35">
      <c r="A63" s="48"/>
      <c r="B63" s="49" t="str">
        <f>IF(C63&lt;&gt;"",COUNTA($C$28:C63),"")</f>
        <v/>
      </c>
      <c r="C63" s="67"/>
      <c r="D63" s="68"/>
      <c r="E63" s="45"/>
      <c r="F63" s="45"/>
      <c r="G63" s="45"/>
      <c r="H63" s="45"/>
      <c r="I63" s="48"/>
      <c r="J63" s="50"/>
      <c r="K63" s="48"/>
      <c r="L63" s="48"/>
      <c r="M63" s="48"/>
      <c r="N63" s="48"/>
      <c r="O63" s="48"/>
      <c r="XEW63" s="52" t="s">
        <v>74</v>
      </c>
    </row>
    <row r="64" spans="1:15 16377:16377" s="52" customFormat="1" ht="18" x14ac:dyDescent="0.35">
      <c r="A64" s="48"/>
      <c r="B64" s="49" t="str">
        <f>IF(C64&lt;&gt;"",COUNTA($C$28:C64),"")</f>
        <v/>
      </c>
      <c r="C64" s="67"/>
      <c r="D64" s="68"/>
      <c r="E64" s="45"/>
      <c r="F64" s="45"/>
      <c r="G64" s="45"/>
      <c r="H64" s="45"/>
      <c r="I64" s="48"/>
      <c r="J64" s="50"/>
      <c r="K64" s="48"/>
      <c r="L64" s="48"/>
      <c r="M64" s="48"/>
      <c r="N64" s="48"/>
      <c r="O64" s="48"/>
      <c r="XEW64" s="52" t="s">
        <v>106</v>
      </c>
    </row>
    <row r="65" spans="1:15 16377:16377" s="52" customFormat="1" ht="18" x14ac:dyDescent="0.35">
      <c r="A65" s="48"/>
      <c r="B65" s="49" t="str">
        <f>IF(C65&lt;&gt;"",COUNTA($C$28:C65),"")</f>
        <v/>
      </c>
      <c r="C65" s="67"/>
      <c r="D65" s="68"/>
      <c r="E65" s="45"/>
      <c r="F65" s="45"/>
      <c r="G65" s="45"/>
      <c r="H65" s="45"/>
      <c r="I65" s="48"/>
      <c r="J65" s="50"/>
      <c r="K65" s="48"/>
      <c r="L65" s="48"/>
      <c r="M65" s="48"/>
      <c r="N65" s="48"/>
      <c r="O65" s="48"/>
      <c r="XEW65" s="52" t="s">
        <v>107</v>
      </c>
    </row>
    <row r="66" spans="1:15 16377:16377" s="52" customFormat="1" ht="18" x14ac:dyDescent="0.35">
      <c r="A66" s="48"/>
      <c r="B66" s="49" t="str">
        <f>IF(C66&lt;&gt;"",COUNTA($C$28:C66),"")</f>
        <v/>
      </c>
      <c r="C66" s="67"/>
      <c r="D66" s="68"/>
      <c r="E66" s="45"/>
      <c r="F66" s="45"/>
      <c r="G66" s="45"/>
      <c r="H66" s="45"/>
      <c r="I66" s="48"/>
      <c r="J66" s="50"/>
      <c r="K66" s="48"/>
      <c r="L66" s="48"/>
      <c r="M66" s="48"/>
      <c r="N66" s="48"/>
      <c r="O66" s="48"/>
      <c r="XEW66" s="52" t="s">
        <v>108</v>
      </c>
    </row>
    <row r="67" spans="1:15 16377:16377" s="52" customFormat="1" ht="18" x14ac:dyDescent="0.35">
      <c r="A67" s="48"/>
      <c r="B67" s="49" t="str">
        <f>IF(C67&lt;&gt;"",COUNTA($C$28:C67),"")</f>
        <v/>
      </c>
      <c r="C67" s="67"/>
      <c r="D67" s="68"/>
      <c r="E67" s="45"/>
      <c r="F67" s="45"/>
      <c r="G67" s="45"/>
      <c r="H67" s="45"/>
      <c r="I67" s="48"/>
      <c r="J67" s="50"/>
      <c r="K67" s="48"/>
      <c r="L67" s="48"/>
      <c r="M67" s="48"/>
      <c r="N67" s="48"/>
      <c r="O67" s="48"/>
      <c r="XEW67" s="52" t="s">
        <v>109</v>
      </c>
    </row>
    <row r="68" spans="1:15 16377:16377" s="52" customFormat="1" ht="18" x14ac:dyDescent="0.35">
      <c r="A68" s="48"/>
      <c r="B68" s="49" t="str">
        <f>IF(C68&lt;&gt;"",COUNTA($C$28:C68),"")</f>
        <v/>
      </c>
      <c r="C68" s="67"/>
      <c r="D68" s="68"/>
      <c r="E68" s="45"/>
      <c r="F68" s="45"/>
      <c r="G68" s="45"/>
      <c r="H68" s="45"/>
      <c r="I68" s="48"/>
      <c r="J68" s="50"/>
      <c r="K68" s="48"/>
      <c r="L68" s="48"/>
      <c r="M68" s="48"/>
      <c r="N68" s="48"/>
      <c r="O68" s="48"/>
      <c r="XEW68" s="52" t="s">
        <v>75</v>
      </c>
    </row>
    <row r="69" spans="1:15 16377:16377" s="52" customFormat="1" ht="18" x14ac:dyDescent="0.35">
      <c r="A69" s="48"/>
      <c r="B69" s="49" t="str">
        <f>IF(C69&lt;&gt;"",COUNTA($C$28:C69),"")</f>
        <v/>
      </c>
      <c r="C69" s="67"/>
      <c r="D69" s="68"/>
      <c r="E69" s="45"/>
      <c r="F69" s="45"/>
      <c r="G69" s="45"/>
      <c r="H69" s="45"/>
      <c r="I69" s="48"/>
      <c r="J69" s="50"/>
      <c r="K69" s="48"/>
      <c r="L69" s="48"/>
      <c r="M69" s="48"/>
      <c r="N69" s="48"/>
      <c r="O69" s="48"/>
      <c r="XEW69" s="52" t="s">
        <v>76</v>
      </c>
    </row>
    <row r="70" spans="1:15 16377:16377" s="52" customFormat="1" ht="18" x14ac:dyDescent="0.35">
      <c r="A70" s="48"/>
      <c r="B70" s="49" t="str">
        <f>IF(C70&lt;&gt;"",COUNTA($C$28:C70),"")</f>
        <v/>
      </c>
      <c r="C70" s="67"/>
      <c r="D70" s="68"/>
      <c r="E70" s="45"/>
      <c r="F70" s="45"/>
      <c r="G70" s="45"/>
      <c r="H70" s="45"/>
      <c r="I70" s="48"/>
      <c r="J70" s="50"/>
      <c r="K70" s="48"/>
      <c r="L70" s="48"/>
      <c r="M70" s="48"/>
      <c r="N70" s="48"/>
      <c r="O70" s="48"/>
    </row>
    <row r="71" spans="1:15 16377:16377" s="52" customFormat="1" ht="18" x14ac:dyDescent="0.35">
      <c r="A71" s="48"/>
      <c r="B71" s="49" t="str">
        <f>IF(C71&lt;&gt;"",COUNTA($C$28:C71),"")</f>
        <v/>
      </c>
      <c r="C71" s="67"/>
      <c r="D71" s="68"/>
      <c r="E71" s="45"/>
      <c r="F71" s="45"/>
      <c r="G71" s="45"/>
      <c r="H71" s="45"/>
      <c r="I71" s="48"/>
      <c r="J71" s="50"/>
      <c r="K71" s="48"/>
      <c r="L71" s="48"/>
      <c r="M71" s="48"/>
      <c r="N71" s="48"/>
      <c r="O71" s="48"/>
    </row>
    <row r="72" spans="1:15 16377:16377" s="52" customFormat="1" ht="18" x14ac:dyDescent="0.35">
      <c r="A72" s="48"/>
      <c r="B72" s="49" t="str">
        <f>IF(C72&lt;&gt;"",COUNTA($C$28:C72),"")</f>
        <v/>
      </c>
      <c r="C72" s="67"/>
      <c r="D72" s="68"/>
      <c r="E72" s="45"/>
      <c r="F72" s="45"/>
      <c r="G72" s="45"/>
      <c r="H72" s="45"/>
      <c r="I72" s="48"/>
      <c r="J72" s="50"/>
      <c r="K72" s="48"/>
      <c r="L72" s="48"/>
      <c r="M72" s="48"/>
      <c r="N72" s="48"/>
      <c r="O72" s="48"/>
    </row>
    <row r="73" spans="1:15 16377:16377" s="52" customFormat="1" ht="18" x14ac:dyDescent="0.35">
      <c r="A73" s="48"/>
      <c r="B73" s="49" t="str">
        <f>IF(C73&lt;&gt;"",COUNTA($C$28:C73),"")</f>
        <v/>
      </c>
      <c r="C73" s="67"/>
      <c r="D73" s="68"/>
      <c r="E73" s="45"/>
      <c r="F73" s="45"/>
      <c r="G73" s="45"/>
      <c r="H73" s="45"/>
      <c r="I73" s="48"/>
      <c r="J73" s="50"/>
      <c r="K73" s="48"/>
      <c r="L73" s="48"/>
      <c r="M73" s="48"/>
      <c r="N73" s="48"/>
      <c r="O73" s="48"/>
    </row>
    <row r="74" spans="1:15 16377:16377" s="52" customFormat="1" ht="18" x14ac:dyDescent="0.35">
      <c r="A74" s="48"/>
      <c r="B74" s="49" t="str">
        <f>IF(C74&lt;&gt;"",COUNTA($C$28:C74),"")</f>
        <v/>
      </c>
      <c r="C74" s="67"/>
      <c r="D74" s="68"/>
      <c r="E74" s="45"/>
      <c r="F74" s="45"/>
      <c r="G74" s="45"/>
      <c r="H74" s="45"/>
      <c r="I74" s="48"/>
      <c r="J74" s="50"/>
      <c r="K74" s="48"/>
      <c r="L74" s="48"/>
      <c r="M74" s="48"/>
      <c r="N74" s="48"/>
      <c r="O74" s="48"/>
    </row>
    <row r="75" spans="1:15 16377:16377" s="52" customFormat="1" ht="18" x14ac:dyDescent="0.35">
      <c r="A75" s="48"/>
      <c r="B75" s="49" t="str">
        <f>IF(C75&lt;&gt;"",COUNTA($C$28:C75),"")</f>
        <v/>
      </c>
      <c r="C75" s="67"/>
      <c r="D75" s="68"/>
      <c r="E75" s="45"/>
      <c r="F75" s="45"/>
      <c r="G75" s="45"/>
      <c r="H75" s="45"/>
      <c r="I75" s="48"/>
      <c r="J75" s="50"/>
      <c r="K75" s="48"/>
      <c r="L75" s="48"/>
      <c r="M75" s="48"/>
      <c r="N75" s="48"/>
      <c r="O75" s="48"/>
    </row>
    <row r="76" spans="1:15 16377:16377" s="52" customFormat="1" ht="18" x14ac:dyDescent="0.35">
      <c r="A76" s="48"/>
      <c r="B76" s="49" t="str">
        <f>IF(C76&lt;&gt;"",COUNTA($C$28:C76),"")</f>
        <v/>
      </c>
      <c r="C76" s="67"/>
      <c r="D76" s="68"/>
      <c r="E76" s="45"/>
      <c r="F76" s="45"/>
      <c r="G76" s="45"/>
      <c r="H76" s="45"/>
      <c r="I76" s="48"/>
      <c r="J76" s="50"/>
      <c r="K76" s="48"/>
      <c r="L76" s="48"/>
      <c r="M76" s="48"/>
      <c r="N76" s="48"/>
      <c r="O76" s="48"/>
    </row>
    <row r="77" spans="1:15 16377:16377" s="52" customFormat="1" ht="18" x14ac:dyDescent="0.35">
      <c r="A77" s="48"/>
      <c r="B77" s="49" t="str">
        <f>IF(C77&lt;&gt;"",COUNTA($C$28:C77),"")</f>
        <v/>
      </c>
      <c r="C77" s="67"/>
      <c r="D77" s="68"/>
      <c r="E77" s="45"/>
      <c r="F77" s="45"/>
      <c r="G77" s="45"/>
      <c r="H77" s="45"/>
      <c r="I77" s="48"/>
      <c r="J77" s="50"/>
      <c r="K77" s="48"/>
      <c r="L77" s="48"/>
      <c r="M77" s="48"/>
      <c r="N77" s="48"/>
      <c r="O77" s="48"/>
    </row>
    <row r="78" spans="1:15 16377:16377" s="52" customFormat="1" ht="18" x14ac:dyDescent="0.35">
      <c r="A78" s="48"/>
      <c r="B78" s="49" t="str">
        <f>IF(C78&lt;&gt;"",COUNTA($C$28:C78),"")</f>
        <v/>
      </c>
      <c r="C78" s="67"/>
      <c r="D78" s="68"/>
      <c r="E78" s="45"/>
      <c r="F78" s="45"/>
      <c r="G78" s="45"/>
      <c r="H78" s="45"/>
      <c r="I78" s="48"/>
      <c r="J78" s="50"/>
      <c r="K78" s="48"/>
      <c r="L78" s="48"/>
      <c r="M78" s="48"/>
      <c r="N78" s="48"/>
      <c r="O78" s="48"/>
    </row>
    <row r="79" spans="1:15 16377:16377" x14ac:dyDescent="0.3">
      <c r="B79" s="81"/>
      <c r="C79" s="81"/>
      <c r="D79" s="81"/>
    </row>
    <row r="80" spans="1:15 16377:16377" s="35" customFormat="1" ht="31.8" customHeight="1" x14ac:dyDescent="0.45">
      <c r="A80" s="27"/>
      <c r="B80" s="80" t="s">
        <v>37</v>
      </c>
      <c r="C80" s="80"/>
      <c r="D80" s="80"/>
      <c r="E80" s="80"/>
      <c r="F80" s="80"/>
      <c r="G80" s="80"/>
      <c r="H80" s="80"/>
      <c r="I80" s="27"/>
      <c r="J80" s="40"/>
      <c r="K80" s="27"/>
      <c r="L80" s="27"/>
      <c r="M80" s="27"/>
      <c r="N80" s="27"/>
      <c r="O80" s="27"/>
    </row>
    <row r="81" spans="1:15" ht="64.8" customHeight="1" x14ac:dyDescent="0.3">
      <c r="B81" s="3" t="s">
        <v>29</v>
      </c>
      <c r="C81" s="21" t="s">
        <v>38</v>
      </c>
      <c r="D81" s="21" t="s">
        <v>39</v>
      </c>
      <c r="E81" s="21" t="s">
        <v>40</v>
      </c>
      <c r="F81" s="21" t="s">
        <v>41</v>
      </c>
      <c r="G81" s="38" t="s">
        <v>33</v>
      </c>
      <c r="H81" s="31" t="s">
        <v>111</v>
      </c>
    </row>
    <row r="82" spans="1:15" s="37" customFormat="1" ht="54.6" customHeight="1" x14ac:dyDescent="0.3">
      <c r="A82" s="9"/>
      <c r="B82" s="22" t="str">
        <f>+IF(C14="","",C14)</f>
        <v>Describa criterio 1</v>
      </c>
      <c r="C82" s="23">
        <f>IFERROR(COUNTIF($E$28:$E$78,"I")/COUNTA($E$28:$E$78),"")</f>
        <v>6.6666666666666666E-2</v>
      </c>
      <c r="D82" s="23">
        <f>IFERROR(COUNTIF($E$28:$E$78,"D")/COUNTA($E$28:$E$78),"")</f>
        <v>6.6666666666666666E-2</v>
      </c>
      <c r="E82" s="25">
        <f>IFERROR(COUNTIF($E$28:$E$78,"S")/COUNTA($E$28:$E$78),"")</f>
        <v>0.46666666666666667</v>
      </c>
      <c r="F82" s="25">
        <f>IFERROR(COUNTIF($E$28:$E$78,"E")/COUNTA($E$28:$E$78),"")</f>
        <v>0.4</v>
      </c>
      <c r="G82" s="25">
        <f>+IFERROR(E82+F82,"")</f>
        <v>0.8666666666666667</v>
      </c>
      <c r="H82" s="23" t="str">
        <f>+IF(G82="","",IFERROR(IF($F$7="","",IF(G82&gt;=$F$7,"✓ Logrado","✗ No logrado")),""))</f>
        <v>✓ Logrado</v>
      </c>
      <c r="I82" s="9"/>
      <c r="J82" s="41"/>
      <c r="K82" s="20"/>
      <c r="L82" s="20"/>
      <c r="M82" s="20"/>
      <c r="N82" s="9"/>
      <c r="O82" s="9"/>
    </row>
    <row r="83" spans="1:15" s="37" customFormat="1" ht="54.6" customHeight="1" x14ac:dyDescent="0.3">
      <c r="A83" s="9"/>
      <c r="B83" s="22" t="str">
        <f>+IF(C15="","",C15)</f>
        <v>Describa criterio 2</v>
      </c>
      <c r="C83" s="23">
        <f>IFERROR(COUNTIF($F$28:$F$78,"I")/COUNTA($F$28:$F$78),"")</f>
        <v>0.2</v>
      </c>
      <c r="D83" s="23">
        <f>IFERROR(COUNTIF($F$28:$F$78,"D")/COUNTA($F$28:$F$78),"")</f>
        <v>0</v>
      </c>
      <c r="E83" s="25">
        <f>IFERROR(COUNTIF($F$28:$F$78,"S")/COUNTA($F$28:$F$78),"")</f>
        <v>0.6</v>
      </c>
      <c r="F83" s="25">
        <f>IFERROR(COUNTIF($F$28:$F$78,"E")/COUNTA($F$28:$F$78),"")</f>
        <v>0.2</v>
      </c>
      <c r="G83" s="25">
        <f t="shared" ref="G83:G85" si="0">+IFERROR(E83+F83,"")</f>
        <v>0.8</v>
      </c>
      <c r="H83" s="23" t="str">
        <f t="shared" ref="H83:H85" si="1">+IF(G83="","",IFERROR(IF($F$7="","",IF(G83&gt;=$F$7,"✓ Logrado","✗ No logrado")),""))</f>
        <v>✓ Logrado</v>
      </c>
      <c r="I83" s="9"/>
      <c r="J83" s="41"/>
      <c r="K83" s="20"/>
      <c r="L83" s="20"/>
      <c r="M83" s="20"/>
      <c r="N83" s="9"/>
      <c r="O83" s="9"/>
    </row>
    <row r="84" spans="1:15" s="37" customFormat="1" ht="54.6" customHeight="1" x14ac:dyDescent="0.3">
      <c r="A84" s="9"/>
      <c r="B84" s="22" t="str">
        <f>+IF(C16="","",C16)</f>
        <v>Describa criterio 3</v>
      </c>
      <c r="C84" s="23">
        <f>IFERROR(COUNTIF($G$28:$G$78,"I")/COUNTA($G$28:$G$78),"")</f>
        <v>0</v>
      </c>
      <c r="D84" s="23">
        <f>IFERROR(COUNTIF($G$28:$G$78,"D")/COUNTA($G$28:$G$78),"")</f>
        <v>0</v>
      </c>
      <c r="E84" s="25">
        <f>IFERROR(COUNTIF($G$28:$G$78,"S")/COUNTA($G$28:$G$78),"")</f>
        <v>1</v>
      </c>
      <c r="F84" s="25">
        <f>IFERROR(COUNTIF($G$28:$G$78,"E")/COUNTA($G$28:$G$78),"")</f>
        <v>0</v>
      </c>
      <c r="G84" s="25">
        <f t="shared" si="0"/>
        <v>1</v>
      </c>
      <c r="H84" s="23" t="str">
        <f t="shared" si="1"/>
        <v>✓ Logrado</v>
      </c>
      <c r="I84" s="9"/>
      <c r="J84" s="41"/>
      <c r="K84" s="9"/>
      <c r="L84" s="9"/>
      <c r="M84" s="9"/>
      <c r="N84" s="9"/>
      <c r="O84" s="9"/>
    </row>
    <row r="85" spans="1:15" s="37" customFormat="1" ht="54.6" customHeight="1" x14ac:dyDescent="0.3">
      <c r="A85" s="9"/>
      <c r="B85" s="22" t="str">
        <f>+IF(C17="","",C17)</f>
        <v>Describa criterio 4</v>
      </c>
      <c r="C85" s="23" t="str">
        <f>IFERROR(COUNTIF($H$28:$H$78,"I")/COUNTA($H$28:$H$78),"")</f>
        <v/>
      </c>
      <c r="D85" s="23" t="str">
        <f>IFERROR(COUNTIF($H$28:$H$78,"D")/COUNTA($H$28:$H$78),"")</f>
        <v/>
      </c>
      <c r="E85" s="25" t="str">
        <f>IFERROR(COUNTIF($H$28:$H$78,"S")/COUNTA($H$28:$H$78),"")</f>
        <v/>
      </c>
      <c r="F85" s="25" t="str">
        <f>IFERROR(COUNTIF($H$28:$H$78,"E")/COUNTA($H$28:$H$78),"")</f>
        <v/>
      </c>
      <c r="G85" s="25" t="str">
        <f t="shared" si="0"/>
        <v/>
      </c>
      <c r="H85" s="23" t="str">
        <f t="shared" si="1"/>
        <v/>
      </c>
      <c r="I85" s="9"/>
      <c r="J85" s="41"/>
      <c r="K85" s="9"/>
      <c r="L85" s="9"/>
      <c r="M85" s="9"/>
      <c r="N85" s="9"/>
      <c r="O85" s="9"/>
    </row>
    <row r="86" spans="1:15" ht="18" customHeight="1" x14ac:dyDescent="0.35">
      <c r="A86" s="15"/>
      <c r="B86" s="16"/>
      <c r="C86" s="16"/>
      <c r="D86" s="17"/>
      <c r="E86" s="14">
        <f>+G82</f>
        <v>0.8666666666666667</v>
      </c>
      <c r="F86" s="14">
        <f>+G83</f>
        <v>0.8</v>
      </c>
      <c r="G86" s="14">
        <f>+G84</f>
        <v>1</v>
      </c>
      <c r="H86" s="14" t="str">
        <f>+G85</f>
        <v/>
      </c>
      <c r="I86" s="15"/>
      <c r="J86" s="42"/>
      <c r="K86" s="15"/>
      <c r="L86" s="15"/>
      <c r="M86" s="15"/>
      <c r="N86" s="15"/>
      <c r="O86" s="15"/>
    </row>
    <row r="87" spans="1:15" s="35" customFormat="1" ht="31.8" customHeight="1" x14ac:dyDescent="0.45">
      <c r="A87" s="27"/>
      <c r="B87" s="80" t="s">
        <v>113</v>
      </c>
      <c r="C87" s="80"/>
      <c r="D87" s="80"/>
      <c r="E87" s="80"/>
      <c r="F87" s="80"/>
      <c r="G87" s="80"/>
      <c r="H87" s="80"/>
      <c r="I87" s="27"/>
      <c r="J87" s="40"/>
      <c r="K87" s="27"/>
      <c r="L87" s="27"/>
      <c r="M87" s="27"/>
      <c r="N87" s="27"/>
      <c r="O87" s="27"/>
    </row>
    <row r="88" spans="1:15" ht="50.4" customHeight="1" x14ac:dyDescent="0.35">
      <c r="B88" s="84" t="s">
        <v>114</v>
      </c>
      <c r="C88" s="85"/>
      <c r="D88" s="19" t="str">
        <f>+IF(F7="","",IF(OR(H83="✗ No logrado",H84="✗ No logrado",H85="✗ No logrado",H82="✗ No logrado"),"No","Si"))</f>
        <v>Si</v>
      </c>
      <c r="E88" s="13" t="str">
        <f>+IFERROR(#REF!+#REF!,"")</f>
        <v/>
      </c>
      <c r="F88" s="14" t="str">
        <f>+IFERROR(#REF!+#REF!,"")</f>
        <v/>
      </c>
      <c r="G88" s="18" t="str">
        <f>+IFERROR(#REF!+#REF!,"")</f>
        <v/>
      </c>
      <c r="H88" s="14" t="str">
        <f>+IFERROR(#REF!+#REF!,"")</f>
        <v/>
      </c>
      <c r="K88" s="6"/>
    </row>
    <row r="89" spans="1:15" ht="3" customHeight="1" x14ac:dyDescent="0.3">
      <c r="B89" s="81"/>
      <c r="C89" s="81"/>
      <c r="E89" s="7">
        <f>+$F$7</f>
        <v>0.75</v>
      </c>
      <c r="F89" s="7">
        <f>+$F$7</f>
        <v>0.75</v>
      </c>
      <c r="G89" s="7">
        <f>+$F$7</f>
        <v>0.75</v>
      </c>
      <c r="H89" s="7">
        <f>+$F$7</f>
        <v>0.75</v>
      </c>
    </row>
    <row r="90" spans="1:15" x14ac:dyDescent="0.3">
      <c r="K90" s="32"/>
    </row>
    <row r="91" spans="1:15" x14ac:dyDescent="0.3">
      <c r="K91" s="32"/>
    </row>
    <row r="92" spans="1:15" x14ac:dyDescent="0.3"/>
    <row r="93" spans="1:15" x14ac:dyDescent="0.3"/>
    <row r="94" spans="1:15" x14ac:dyDescent="0.3"/>
    <row r="95" spans="1:15" x14ac:dyDescent="0.3"/>
    <row r="96" spans="1:15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spans="1:15" x14ac:dyDescent="0.3"/>
    <row r="114" spans="1:15" x14ac:dyDescent="0.3"/>
    <row r="115" spans="1:15" x14ac:dyDescent="0.3"/>
    <row r="116" spans="1:15" x14ac:dyDescent="0.3"/>
    <row r="117" spans="1:15" x14ac:dyDescent="0.3"/>
    <row r="126" spans="1:15" x14ac:dyDescent="0.3"/>
    <row r="127" spans="1:15" s="35" customFormat="1" ht="31.8" customHeight="1" x14ac:dyDescent="0.45">
      <c r="A127" s="27"/>
      <c r="B127" s="80" t="s">
        <v>42</v>
      </c>
      <c r="C127" s="80"/>
      <c r="D127" s="80"/>
      <c r="E127" s="80"/>
      <c r="F127" s="80"/>
      <c r="G127" s="80"/>
      <c r="H127" s="80"/>
      <c r="I127" s="27"/>
      <c r="J127" s="40"/>
      <c r="K127" s="27"/>
      <c r="L127" s="27"/>
      <c r="M127" s="27"/>
      <c r="N127" s="27"/>
      <c r="O127" s="27"/>
    </row>
    <row r="128" spans="1:15" ht="80.400000000000006" customHeight="1" x14ac:dyDescent="0.3">
      <c r="B128" s="82" t="s">
        <v>6</v>
      </c>
      <c r="C128" s="83"/>
      <c r="D128" s="28" t="s">
        <v>8</v>
      </c>
      <c r="E128" s="29" t="s">
        <v>9</v>
      </c>
      <c r="F128" s="29" t="s">
        <v>13</v>
      </c>
      <c r="G128" s="29" t="s">
        <v>10</v>
      </c>
      <c r="H128" s="29" t="s">
        <v>4</v>
      </c>
    </row>
    <row r="129" spans="2:8" ht="93.6" customHeight="1" x14ac:dyDescent="0.3">
      <c r="B129" s="86" t="s">
        <v>7</v>
      </c>
      <c r="C129" s="86"/>
      <c r="D129" s="46"/>
      <c r="E129" s="46"/>
      <c r="F129" s="46"/>
      <c r="G129" s="46"/>
      <c r="H129" s="47"/>
    </row>
    <row r="130" spans="2:8" ht="93.6" customHeight="1" x14ac:dyDescent="0.3">
      <c r="B130" s="86" t="s">
        <v>18</v>
      </c>
      <c r="C130" s="86"/>
      <c r="D130" s="46"/>
      <c r="E130" s="46"/>
      <c r="F130" s="46"/>
      <c r="G130" s="46"/>
      <c r="H130" s="47"/>
    </row>
    <row r="131" spans="2:8" ht="93.6" customHeight="1" x14ac:dyDescent="0.3">
      <c r="B131" s="86" t="s">
        <v>11</v>
      </c>
      <c r="C131" s="86"/>
      <c r="D131" s="46"/>
      <c r="E131" s="46"/>
      <c r="F131" s="46"/>
      <c r="G131" s="46"/>
      <c r="H131" s="47"/>
    </row>
    <row r="132" spans="2:8" x14ac:dyDescent="0.3"/>
    <row r="133" spans="2:8" x14ac:dyDescent="0.3"/>
    <row r="134" spans="2:8" x14ac:dyDescent="0.3"/>
  </sheetData>
  <sheetProtection formatCells="0" formatRows="0" insertRows="0" selectLockedCells="1" autoFilter="0"/>
  <mergeCells count="89">
    <mergeCell ref="C78:D78"/>
    <mergeCell ref="C77:D77"/>
    <mergeCell ref="C76:D76"/>
    <mergeCell ref="C75:D75"/>
    <mergeCell ref="C50:D50"/>
    <mergeCell ref="C68:D68"/>
    <mergeCell ref="C73:D73"/>
    <mergeCell ref="C13:D13"/>
    <mergeCell ref="F13:H13"/>
    <mergeCell ref="B7:B17"/>
    <mergeCell ref="C5:H5"/>
    <mergeCell ref="C11:H11"/>
    <mergeCell ref="F7:F10"/>
    <mergeCell ref="C14:D14"/>
    <mergeCell ref="C15:D15"/>
    <mergeCell ref="C16:D16"/>
    <mergeCell ref="C17:D17"/>
    <mergeCell ref="F14:H14"/>
    <mergeCell ref="F15:H15"/>
    <mergeCell ref="F16:H16"/>
    <mergeCell ref="F17:H17"/>
    <mergeCell ref="B21:D21"/>
    <mergeCell ref="C20:H20"/>
    <mergeCell ref="B24:H24"/>
    <mergeCell ref="C62:D62"/>
    <mergeCell ref="C51:D51"/>
    <mergeCell ref="C52:D52"/>
    <mergeCell ref="C53:D53"/>
    <mergeCell ref="C54:D54"/>
    <mergeCell ref="C60:D60"/>
    <mergeCell ref="C55:D55"/>
    <mergeCell ref="C56:D56"/>
    <mergeCell ref="C57:D57"/>
    <mergeCell ref="C58:D58"/>
    <mergeCell ref="C59:D59"/>
    <mergeCell ref="C61:D61"/>
    <mergeCell ref="C46:D46"/>
    <mergeCell ref="B128:C128"/>
    <mergeCell ref="B88:C88"/>
    <mergeCell ref="B131:C131"/>
    <mergeCell ref="B89:C89"/>
    <mergeCell ref="B129:C129"/>
    <mergeCell ref="B130:C130"/>
    <mergeCell ref="B87:H87"/>
    <mergeCell ref="B127:H127"/>
    <mergeCell ref="B80:H80"/>
    <mergeCell ref="B79:D79"/>
    <mergeCell ref="C48:D48"/>
    <mergeCell ref="C49:D49"/>
    <mergeCell ref="C74:D74"/>
    <mergeCell ref="C63:D63"/>
    <mergeCell ref="C64:D64"/>
    <mergeCell ref="C65:D65"/>
    <mergeCell ref="C66:D66"/>
    <mergeCell ref="C69:D69"/>
    <mergeCell ref="C70:D70"/>
    <mergeCell ref="C71:D71"/>
    <mergeCell ref="C72:D72"/>
    <mergeCell ref="C67:D67"/>
    <mergeCell ref="C43:D43"/>
    <mergeCell ref="C44:D44"/>
    <mergeCell ref="C28:D28"/>
    <mergeCell ref="C29:D29"/>
    <mergeCell ref="C30:D30"/>
    <mergeCell ref="C31:D31"/>
    <mergeCell ref="C32:D32"/>
    <mergeCell ref="C45:D45"/>
    <mergeCell ref="C47:D47"/>
    <mergeCell ref="B25:B26"/>
    <mergeCell ref="C25:D26"/>
    <mergeCell ref="C27:H27"/>
    <mergeCell ref="E25:H25"/>
    <mergeCell ref="C36:D36"/>
    <mergeCell ref="C38:D38"/>
    <mergeCell ref="C40:D40"/>
    <mergeCell ref="C41:D41"/>
    <mergeCell ref="C42:D42"/>
    <mergeCell ref="C37:D37"/>
    <mergeCell ref="C39:D39"/>
    <mergeCell ref="C33:D33"/>
    <mergeCell ref="C34:D34"/>
    <mergeCell ref="C35:D35"/>
    <mergeCell ref="C2:H2"/>
    <mergeCell ref="C7:C10"/>
    <mergeCell ref="D7:D10"/>
    <mergeCell ref="E7:E10"/>
    <mergeCell ref="D3:H3"/>
    <mergeCell ref="D4:H4"/>
    <mergeCell ref="G7:G10"/>
  </mergeCells>
  <phoneticPr fontId="10" type="noConversion"/>
  <conditionalFormatting sqref="H82:H85">
    <cfRule type="containsText" dxfId="1" priority="1" operator="containsText" text="✗">
      <formula>NOT(ISERROR(SEARCH("✗",H82)))</formula>
    </cfRule>
    <cfRule type="containsText" dxfId="0" priority="2" operator="containsText" text="✓">
      <formula>NOT(ISERROR(SEARCH("✓",H82)))</formula>
    </cfRule>
  </conditionalFormatting>
  <dataValidations count="3">
    <dataValidation type="list" allowBlank="1" showInputMessage="1" showErrorMessage="1" sqref="E28:H78" xr:uid="{F90D74FD-9B09-4DBB-8A28-EAAE1E85350C}">
      <formula1>"I, D, S, E"</formula1>
    </dataValidation>
    <dataValidation type="list" allowBlank="1" showInputMessage="1" showErrorMessage="1" sqref="E14:E17" xr:uid="{1EE71356-781E-42C5-A2F8-33A5DE30621C}">
      <formula1>$XEW$10:$XEW$69</formula1>
    </dataValidation>
    <dataValidation type="list" allowBlank="1" showInputMessage="1" showErrorMessage="1" sqref="G7:G10" xr:uid="{3CE5D29E-8F25-4F47-A08C-E99EA41CC4DA}">
      <formula1>"PAO-0,PAO-1, PAO-2"</formula1>
    </dataValidation>
  </dataValidations>
  <pageMargins left="0.7" right="0.7" top="0.75" bottom="0.75" header="0.3" footer="0.3"/>
  <pageSetup paperSize="9" scale="41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CB24-D46F-4DC1-8515-4845AE0EC681}">
  <dimension ref="B3:D6"/>
  <sheetViews>
    <sheetView workbookViewId="0">
      <selection activeCell="G10" sqref="G10"/>
    </sheetView>
  </sheetViews>
  <sheetFormatPr baseColWidth="10" defaultColWidth="9.109375" defaultRowHeight="14.4" x14ac:dyDescent="0.3"/>
  <sheetData>
    <row r="3" spans="2:4" x14ac:dyDescent="0.3">
      <c r="B3" t="s">
        <v>14</v>
      </c>
      <c r="D3" t="s">
        <v>19</v>
      </c>
    </row>
    <row r="4" spans="2:4" x14ac:dyDescent="0.3">
      <c r="B4" t="s">
        <v>15</v>
      </c>
      <c r="D4" t="s">
        <v>20</v>
      </c>
    </row>
    <row r="5" spans="2:4" x14ac:dyDescent="0.3">
      <c r="B5" t="s">
        <v>16</v>
      </c>
      <c r="D5" t="s">
        <v>21</v>
      </c>
    </row>
    <row r="6" spans="2:4" x14ac:dyDescent="0.3">
      <c r="D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de medición</vt:lpstr>
      <vt:lpstr>Sheet1</vt:lpstr>
    </vt:vector>
  </TitlesOfParts>
  <Company>ESPOL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Andres Flores Garzon</dc:creator>
  <cp:lastModifiedBy>Miguel Angel Briones Jara</cp:lastModifiedBy>
  <cp:lastPrinted>2025-04-24T01:51:42Z</cp:lastPrinted>
  <dcterms:created xsi:type="dcterms:W3CDTF">2025-03-25T14:55:54Z</dcterms:created>
  <dcterms:modified xsi:type="dcterms:W3CDTF">2026-07-16T16:57:46Z</dcterms:modified>
</cp:coreProperties>
</file>